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Paper Writitng\Blue Economy_Bangladesh\Food Policy\Data and Code\"/>
    </mc:Choice>
  </mc:AlternateContent>
  <xr:revisionPtr revIDLastSave="0" documentId="13_ncr:1_{7C13FFAA-741D-46E2-B4A2-D841D97E9533}" xr6:coauthVersionLast="47" xr6:coauthVersionMax="47" xr10:uidLastSave="{00000000-0000-0000-0000-000000000000}"/>
  <bookViews>
    <workbookView xWindow="-110" yWindow="-110" windowWidth="19420" windowHeight="10300" firstSheet="4" activeTab="8" xr2:uid="{00000000-000D-0000-FFFF-FFFF00000000}"/>
  </bookViews>
  <sheets>
    <sheet name="EU_2009" sheetId="5" r:id="rId1"/>
    <sheet name="EU_2014" sheetId="6" r:id="rId2"/>
    <sheet name="EU_2019" sheetId="7" r:id="rId3"/>
    <sheet name="EU_2024" sheetId="3" r:id="rId4"/>
    <sheet name="Europe_2009" sheetId="9" r:id="rId5"/>
    <sheet name="Europe_2014" sheetId="10" r:id="rId6"/>
    <sheet name="Europe_2019" sheetId="11" r:id="rId7"/>
    <sheet name="Europe_2024" sheetId="12" r:id="rId8"/>
    <sheet name="Trade _Flow" sheetId="13" r:id="rId9"/>
    <sheet name="USD_per_kg" sheetId="1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14" l="1"/>
  <c r="F21" i="14"/>
  <c r="E21" i="14"/>
  <c r="D21" i="14"/>
  <c r="C21" i="14"/>
  <c r="G17" i="14"/>
  <c r="F17" i="14"/>
  <c r="E17" i="14"/>
  <c r="D17" i="14"/>
  <c r="C17" i="14"/>
  <c r="G13" i="14"/>
  <c r="F13" i="14"/>
  <c r="E13" i="14"/>
  <c r="D13" i="14"/>
  <c r="C13" i="14"/>
  <c r="G9" i="14"/>
  <c r="F9" i="14"/>
  <c r="E9" i="14"/>
  <c r="D9" i="14"/>
  <c r="C9" i="14"/>
  <c r="G5" i="14"/>
  <c r="F5" i="14"/>
  <c r="E5" i="14"/>
  <c r="D5" i="14"/>
  <c r="C5" i="14"/>
  <c r="M4" i="13" l="1"/>
  <c r="N4" i="13"/>
  <c r="M5" i="13"/>
  <c r="N5" i="13"/>
  <c r="M6" i="13"/>
  <c r="N6" i="13"/>
  <c r="M7" i="13"/>
  <c r="N7" i="13"/>
  <c r="M8" i="13"/>
  <c r="N8" i="13"/>
  <c r="M9" i="13"/>
  <c r="N9" i="13"/>
  <c r="M10" i="13"/>
  <c r="N10" i="13"/>
  <c r="M11" i="13"/>
  <c r="N11" i="13"/>
  <c r="M12" i="13"/>
  <c r="N12" i="13"/>
  <c r="M13" i="13"/>
  <c r="N13" i="13"/>
  <c r="M14" i="13"/>
  <c r="N14" i="13"/>
  <c r="M15" i="13"/>
  <c r="N15" i="13"/>
  <c r="M16" i="13"/>
  <c r="N16" i="13"/>
  <c r="M17" i="13"/>
  <c r="N17" i="13"/>
  <c r="M18" i="13"/>
  <c r="N18" i="13"/>
  <c r="N3" i="13"/>
  <c r="M3" i="13"/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" i="5"/>
  <c r="D29" i="5"/>
  <c r="B29" i="5"/>
  <c r="B32" i="5" s="1"/>
  <c r="D30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2" i="6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2" i="7"/>
  <c r="D30" i="7"/>
  <c r="D29" i="3"/>
  <c r="E9" i="3"/>
  <c r="E3" i="3"/>
  <c r="E4" i="3"/>
  <c r="E5" i="3"/>
  <c r="E6" i="3"/>
  <c r="E7" i="3"/>
  <c r="E8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" i="3"/>
  <c r="B56" i="12"/>
  <c r="B58" i="11"/>
  <c r="B56" i="10"/>
  <c r="B52" i="9"/>
  <c r="B56" i="9" s="1"/>
  <c r="B57" i="9"/>
  <c r="E53" i="9"/>
  <c r="D52" i="9"/>
  <c r="F52" i="12"/>
  <c r="E52" i="10"/>
  <c r="D51" i="10"/>
  <c r="E52" i="11"/>
  <c r="D51" i="11"/>
  <c r="D51" i="12"/>
  <c r="B30" i="7"/>
  <c r="E30" i="7" s="1"/>
  <c r="B29" i="3"/>
  <c r="B32" i="3" s="1"/>
  <c r="B51" i="12"/>
  <c r="B55" i="12" s="1"/>
  <c r="B51" i="10"/>
  <c r="B55" i="10" s="1"/>
  <c r="B51" i="11"/>
  <c r="B57" i="11" s="1"/>
  <c r="B30" i="6"/>
  <c r="B33" i="6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2" i="9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2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2" i="11"/>
  <c r="E13" i="12"/>
  <c r="E3" i="12"/>
  <c r="E4" i="12"/>
  <c r="E5" i="12"/>
  <c r="E6" i="12"/>
  <c r="E7" i="12"/>
  <c r="E8" i="12"/>
  <c r="E9" i="12"/>
  <c r="E10" i="12"/>
  <c r="E11" i="12"/>
  <c r="E50" i="12"/>
  <c r="E12" i="12"/>
  <c r="E14" i="12"/>
  <c r="E15" i="12"/>
  <c r="E16" i="12"/>
  <c r="E18" i="12"/>
  <c r="E20" i="12"/>
  <c r="E21" i="12"/>
  <c r="E22" i="12"/>
  <c r="E24" i="12"/>
  <c r="E27" i="12"/>
  <c r="E28" i="12"/>
  <c r="E29" i="12"/>
  <c r="E30" i="12"/>
  <c r="E31" i="12"/>
  <c r="E32" i="12"/>
  <c r="E33" i="12"/>
  <c r="E34" i="12"/>
  <c r="E36" i="12"/>
  <c r="E37" i="12"/>
  <c r="E38" i="12"/>
  <c r="E39" i="12"/>
  <c r="E40" i="12"/>
  <c r="E41" i="12"/>
  <c r="E42" i="12"/>
  <c r="E43" i="12"/>
  <c r="E35" i="12"/>
  <c r="E44" i="12"/>
  <c r="E45" i="12"/>
  <c r="E46" i="12"/>
  <c r="E47" i="12"/>
  <c r="E48" i="12"/>
  <c r="E49" i="12"/>
  <c r="E2" i="12"/>
  <c r="E30" i="6" l="1"/>
  <c r="B34" i="7"/>
  <c r="E29" i="3"/>
  <c r="E52" i="9"/>
  <c r="E51" i="10"/>
  <c r="E51" i="11"/>
  <c r="F51" i="12"/>
  <c r="E29" i="5"/>
</calcChain>
</file>

<file path=xl/sharedStrings.xml><?xml version="1.0" encoding="utf-8"?>
<sst xmlns="http://schemas.openxmlformats.org/spreadsheetml/2006/main" count="412" uniqueCount="84">
  <si>
    <t>Austria</t>
  </si>
  <si>
    <t>Belgium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</si>
  <si>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</si>
  <si>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</si>
  <si>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</si>
  <si>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</si>
  <si>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</si>
  <si>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</si>
  <si>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</si>
  <si>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</si>
  <si>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Ireland</t>
  </si>
  <si>
    <t>Italy</t>
  </si>
  <si>
    <t>Luxembourg</t>
  </si>
  <si>
    <t>Poland</t>
  </si>
  <si>
    <t>Portugal</t>
  </si>
  <si>
    <t>Slovakia</t>
  </si>
  <si>
    <t>Slovenia</t>
  </si>
  <si>
    <t>Spain</t>
  </si>
  <si>
    <t>Sweden</t>
  </si>
  <si>
    <t>Bulgaria</t>
  </si>
  <si>
    <t>Romania</t>
  </si>
  <si>
    <t>Year</t>
  </si>
  <si>
    <t>Importer (Reporter)</t>
  </si>
  <si>
    <t>Croatia</t>
  </si>
  <si>
    <t>Hungary</t>
  </si>
  <si>
    <t>Lithuania</t>
  </si>
  <si>
    <t>Malta</t>
  </si>
  <si>
    <t>Quantity  (kg)</t>
  </si>
  <si>
    <t>Net Wt (kg)</t>
  </si>
  <si>
    <t>Albania</t>
  </si>
  <si>
    <t>Andorra</t>
  </si>
  <si>
    <t>Belarus</t>
  </si>
  <si>
    <t>Bosnia and Herzegovina</t>
  </si>
  <si>
    <t>Iceland</t>
  </si>
  <si>
    <t>Liechtenstein</t>
  </si>
  <si>
    <t>Moldova</t>
  </si>
  <si>
    <t>Monaco</t>
  </si>
  <si>
    <t>Montenegro</t>
  </si>
  <si>
    <t>North Macedonia</t>
  </si>
  <si>
    <t>Norway</t>
  </si>
  <si>
    <t>Republic of Serbia</t>
  </si>
  <si>
    <t>Russia</t>
  </si>
  <si>
    <t>San Marino</t>
  </si>
  <si>
    <t>Switzerland</t>
  </si>
  <si>
    <t>Ukraine</t>
  </si>
  <si>
    <t>period</t>
  </si>
  <si>
    <t>Population</t>
  </si>
  <si>
    <t>kg/person</t>
  </si>
  <si>
    <t>Isle of Man</t>
  </si>
  <si>
    <t>Jersey</t>
  </si>
  <si>
    <t>Guernsey</t>
  </si>
  <si>
    <t>United Kingdom</t>
  </si>
  <si>
    <t>Netherlands</t>
  </si>
  <si>
    <t>Kosovo</t>
  </si>
  <si>
    <t>Gibraltar</t>
  </si>
  <si>
    <t>Faroe Islands</t>
  </si>
  <si>
    <t>China</t>
  </si>
  <si>
    <t>Europe</t>
  </si>
  <si>
    <t>World</t>
  </si>
  <si>
    <t>Europe (%)</t>
  </si>
  <si>
    <t>China (%)</t>
  </si>
  <si>
    <t xml:space="preserve">Population </t>
  </si>
  <si>
    <t>Kg/person</t>
  </si>
  <si>
    <t>EU</t>
  </si>
  <si>
    <t>EU (%)</t>
  </si>
  <si>
    <t>Eu (%)</t>
  </si>
  <si>
    <t>Import (Kg/individual)</t>
  </si>
  <si>
    <t>World_Import (tonnes)</t>
  </si>
  <si>
    <t>China_Import (tonnes)</t>
  </si>
  <si>
    <t>Share of the world import (%)</t>
  </si>
  <si>
    <t>Value (USD 1000)</t>
  </si>
  <si>
    <t>Quantity (Tonnes)</t>
  </si>
  <si>
    <t>USD/KG</t>
  </si>
  <si>
    <t xml:space="preserve"> Name (Unit)</t>
  </si>
  <si>
    <t>Species (Name)</t>
  </si>
  <si>
    <t>N/A</t>
  </si>
  <si>
    <t>Latvia</t>
  </si>
  <si>
    <t xml:space="preserve">Macrobrachium rosenbergii (giant river prawn) </t>
  </si>
  <si>
    <t>Penaeus monodon (giant tiger prawn)</t>
  </si>
  <si>
    <t>Scylla olivacea (orange mud crab)</t>
  </si>
  <si>
    <t>Metapenaeus monoceros (speckled shrimp)</t>
  </si>
  <si>
    <t>Penaeus indicus (Indian white prawn)</t>
  </si>
  <si>
    <t>World_Import_Growth (%)</t>
  </si>
  <si>
    <t>China_Import_Growth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</si>
</sst>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8" x14ac:knownFonts="1">
    <font>
      <sz val="12"/>
      <color theme="1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Times New Roman"/>
      <family val="1"/>
    </font>
    <font>
      <sz val="12"/>
      <name val="Calibri"/>
      <family val="2"/>
      <scheme val="minor"/>
    </font>
    <font>
      <sz val="12"/>
      <name val="Times New Roman"/>
      <family val="1"/>
    </font>
    <font>
      <sz val="11"/>
      <name val="Times New Roman"/>
      <family val="1"/>
    </font>
    <font>
      <sz val="12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65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2" fontId="5" fillId="0" borderId="0" xfId="0" applyNumberFormat="1" applyFont="1"/>
    <xf numFmtId="0" fontId="7" fillId="0" borderId="0" xfId="0" applyFont="1" applyAlignment="1">
      <alignment horizontal="center"/>
    </xf>
    <xf numFmtId="165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17707-E9AB-43E6-BD68-036ABC2E8D1F}">
  <dimension ref="A1:G32"/>
  <sheetViews>
    <sheetView zoomScale="85" zoomScaleNormal="85" workbookViewId="0">
      <selection sqref="A1:E1048576"/>
    </sheetView>
  </sheetViews>
  <sheetFormatPr defaultRowHeight="15.5" x14ac:dyDescent="0.35"/>
  <cols>
    <col min="1" max="1" width="8.75" style="11" bestFit="1" customWidth="1"/>
    <col min="2" max="2" width="15.6640625" style="11" customWidth="1"/>
    <col min="3" max="3" width="27.58203125" style="11" customWidth="1"/>
    <col min="4" max="4" width="11.75" style="12" bestFit="1" customWidth="1"/>
    <col min="5" max="5" width="8.75" style="12" bestFit="1" customWidth="1"/>
  </cols>
  <sheetData>
    <row r="1" spans="1:7" x14ac:dyDescent="0.35">
      <c r="A1" s="11" t="s">
        <v>21</v>
      </c>
      <c r="B1" s="11" t="s">
        <v>27</v>
      </c>
      <c r="C1" s="11" t="s">
        <v>22</v>
      </c>
      <c r="D1" s="11" t="s">
        <v>46</v>
      </c>
      <c r="E1" s="11" t="s">
        <v>47</v>
      </c>
      <c r="G1" s="3"/>
    </row>
    <row r="2" spans="1:7" x14ac:dyDescent="0.35">
      <c r="A2" s="11">
        <v>2009</v>
      </c>
      <c r="B2" s="11">
        <v>513800</v>
      </c>
      <c r="C2" s="11" t="s">
        <v>0</v>
      </c>
      <c r="D2" s="11">
        <v>8345065.5</v>
      </c>
      <c r="E2" s="11">
        <f t="shared" ref="E2:E29" si="0">B2/D2</f>
        <v>6.156931901852658E-2</v>
      </c>
      <c r="F2" s="1"/>
    </row>
    <row r="3" spans="1:7" x14ac:dyDescent="0.35">
      <c r="A3" s="11">
        <v>2009</v>
      </c>
      <c r="B3" s="11">
        <v>12003321</v>
      </c>
      <c r="C3" s="11" t="s">
        <v>1</v>
      </c>
      <c r="D3" s="11">
        <v>10812935.5</v>
      </c>
      <c r="E3" s="11">
        <f t="shared" si="0"/>
        <v>1.1100890225415661</v>
      </c>
      <c r="F3" s="1"/>
    </row>
    <row r="4" spans="1:7" x14ac:dyDescent="0.35">
      <c r="A4" s="11">
        <v>2009</v>
      </c>
      <c r="B4" s="11">
        <v>28063</v>
      </c>
      <c r="C4" s="11" t="s">
        <v>19</v>
      </c>
      <c r="D4" s="11">
        <v>7488011.5</v>
      </c>
      <c r="E4" s="11">
        <f t="shared" si="0"/>
        <v>3.7477239451355008E-3</v>
      </c>
      <c r="F4" s="1"/>
    </row>
    <row r="5" spans="1:7" x14ac:dyDescent="0.35">
      <c r="A5" s="11">
        <v>2009</v>
      </c>
      <c r="B5" s="11">
        <v>6803855</v>
      </c>
      <c r="C5" s="11" t="s">
        <v>51</v>
      </c>
      <c r="D5" s="11">
        <v>62506225.5</v>
      </c>
      <c r="E5" s="11">
        <f t="shared" si="0"/>
        <v>0.10885083758576976</v>
      </c>
      <c r="F5" s="1"/>
    </row>
    <row r="6" spans="1:7" x14ac:dyDescent="0.35">
      <c r="A6" s="11">
        <v>2009</v>
      </c>
      <c r="B6" s="11">
        <v>45614</v>
      </c>
      <c r="C6" s="11" t="s">
        <v>2</v>
      </c>
      <c r="D6" s="12">
        <v>1109371</v>
      </c>
      <c r="E6" s="11">
        <f t="shared" si="0"/>
        <v>4.1116993323243534E-2</v>
      </c>
      <c r="F6" s="1"/>
    </row>
    <row r="7" spans="1:7" x14ac:dyDescent="0.35">
      <c r="A7" s="11">
        <v>2009</v>
      </c>
      <c r="B7" s="11">
        <v>16315</v>
      </c>
      <c r="C7" s="11" t="s">
        <v>3</v>
      </c>
      <c r="D7" s="11">
        <v>10420984.5</v>
      </c>
      <c r="E7" s="11">
        <f t="shared" si="0"/>
        <v>1.5655910437252835E-3</v>
      </c>
      <c r="F7" s="1"/>
    </row>
    <row r="8" spans="1:7" x14ac:dyDescent="0.35">
      <c r="A8" s="11">
        <v>2009</v>
      </c>
      <c r="B8" s="11">
        <v>1451455</v>
      </c>
      <c r="C8" s="11" t="s">
        <v>4</v>
      </c>
      <c r="D8" s="11">
        <v>5523173</v>
      </c>
      <c r="E8" s="11">
        <f t="shared" si="0"/>
        <v>0.26279368761398564</v>
      </c>
      <c r="F8" s="1"/>
    </row>
    <row r="9" spans="1:7" x14ac:dyDescent="0.35">
      <c r="A9" s="11">
        <v>2009</v>
      </c>
      <c r="B9" s="11">
        <v>430</v>
      </c>
      <c r="C9" s="11" t="s">
        <v>5</v>
      </c>
      <c r="D9" s="11">
        <v>1334528.5</v>
      </c>
      <c r="E9" s="11">
        <f t="shared" si="0"/>
        <v>3.2221117795536028E-4</v>
      </c>
      <c r="F9" s="1"/>
    </row>
    <row r="10" spans="1:7" x14ac:dyDescent="0.35">
      <c r="A10" s="11">
        <v>2009</v>
      </c>
      <c r="B10" s="11">
        <v>50938</v>
      </c>
      <c r="C10" s="11" t="s">
        <v>6</v>
      </c>
      <c r="D10" s="11">
        <v>5338856.5</v>
      </c>
      <c r="E10" s="11">
        <f t="shared" si="0"/>
        <v>9.5409944058245429E-3</v>
      </c>
      <c r="F10" s="1"/>
    </row>
    <row r="11" spans="1:7" x14ac:dyDescent="0.35">
      <c r="A11" s="11">
        <v>2009</v>
      </c>
      <c r="B11" s="11">
        <v>3521100</v>
      </c>
      <c r="C11" s="11" t="s">
        <v>7</v>
      </c>
      <c r="D11" s="11">
        <v>63106463</v>
      </c>
      <c r="E11" s="11">
        <f t="shared" si="0"/>
        <v>5.5796186834302534E-2</v>
      </c>
      <c r="F11" s="1"/>
    </row>
    <row r="12" spans="1:7" x14ac:dyDescent="0.35">
      <c r="A12" s="11">
        <v>2009</v>
      </c>
      <c r="B12" s="11">
        <v>6405233</v>
      </c>
      <c r="C12" s="11" t="s">
        <v>8</v>
      </c>
      <c r="D12" s="11">
        <v>80935283</v>
      </c>
      <c r="E12" s="11">
        <f t="shared" si="0"/>
        <v>7.9140181668358414E-2</v>
      </c>
      <c r="F12" s="1"/>
    </row>
    <row r="13" spans="1:7" x14ac:dyDescent="0.35">
      <c r="A13" s="11">
        <v>2009</v>
      </c>
      <c r="B13" s="11">
        <v>162400</v>
      </c>
      <c r="C13" s="11" t="s">
        <v>9</v>
      </c>
      <c r="D13" s="11">
        <v>11108069</v>
      </c>
      <c r="E13" s="11">
        <f t="shared" si="0"/>
        <v>1.4620002810569506E-2</v>
      </c>
      <c r="F13" s="1"/>
    </row>
    <row r="14" spans="1:7" x14ac:dyDescent="0.35">
      <c r="A14" s="11">
        <v>2009</v>
      </c>
      <c r="B14" s="11">
        <v>1157</v>
      </c>
      <c r="C14" s="11" t="s">
        <v>10</v>
      </c>
      <c r="D14" s="11">
        <v>4533752</v>
      </c>
      <c r="E14" s="11">
        <f t="shared" si="0"/>
        <v>2.5519702003991399E-4</v>
      </c>
      <c r="F14" s="1"/>
    </row>
    <row r="15" spans="1:7" x14ac:dyDescent="0.35">
      <c r="A15" s="11">
        <v>2009</v>
      </c>
      <c r="B15" s="11">
        <v>43773</v>
      </c>
      <c r="C15" s="11" t="s">
        <v>11</v>
      </c>
      <c r="D15" s="11">
        <v>59904010.5</v>
      </c>
      <c r="E15" s="11">
        <f t="shared" si="0"/>
        <v>7.3071902256026746E-4</v>
      </c>
      <c r="F15" s="1"/>
    </row>
    <row r="16" spans="1:7" x14ac:dyDescent="0.35">
      <c r="A16" s="11">
        <v>2009</v>
      </c>
      <c r="B16" s="11">
        <v>52632</v>
      </c>
      <c r="C16" s="11" t="s">
        <v>12</v>
      </c>
      <c r="D16" s="11">
        <v>498186.5</v>
      </c>
      <c r="E16" s="11">
        <f t="shared" si="0"/>
        <v>0.10564718233031205</v>
      </c>
      <c r="F16" s="1"/>
    </row>
    <row r="17" spans="1:6" x14ac:dyDescent="0.35">
      <c r="A17" s="11">
        <v>2009</v>
      </c>
      <c r="B17" s="11">
        <v>4907892</v>
      </c>
      <c r="C17" s="11" t="s">
        <v>52</v>
      </c>
      <c r="D17" s="11">
        <v>16684150</v>
      </c>
      <c r="E17" s="11">
        <f t="shared" si="0"/>
        <v>0.2941649409769152</v>
      </c>
      <c r="F17" s="1"/>
    </row>
    <row r="18" spans="1:6" x14ac:dyDescent="0.35">
      <c r="A18" s="11">
        <v>2009</v>
      </c>
      <c r="B18" s="11">
        <v>200709</v>
      </c>
      <c r="C18" s="11" t="s">
        <v>13</v>
      </c>
      <c r="D18" s="11">
        <v>38002155</v>
      </c>
      <c r="E18" s="11">
        <f t="shared" si="0"/>
        <v>5.281516271906159E-3</v>
      </c>
      <c r="F18" s="1"/>
    </row>
    <row r="19" spans="1:6" x14ac:dyDescent="0.35">
      <c r="A19" s="11">
        <v>2009</v>
      </c>
      <c r="B19" s="11">
        <v>790530</v>
      </c>
      <c r="C19" s="11" t="s">
        <v>14</v>
      </c>
      <c r="D19" s="11">
        <v>10576267</v>
      </c>
      <c r="E19" s="11">
        <f t="shared" si="0"/>
        <v>7.4745654586821614E-2</v>
      </c>
      <c r="F19" s="1"/>
    </row>
    <row r="20" spans="1:6" x14ac:dyDescent="0.35">
      <c r="A20" s="11">
        <v>2009</v>
      </c>
      <c r="B20" s="11">
        <v>5382</v>
      </c>
      <c r="C20" s="11" t="s">
        <v>15</v>
      </c>
      <c r="D20" s="11">
        <v>5385072.5</v>
      </c>
      <c r="E20" s="11">
        <f t="shared" si="0"/>
        <v>9.9942944129350155E-4</v>
      </c>
      <c r="F20" s="1"/>
    </row>
    <row r="21" spans="1:6" x14ac:dyDescent="0.35">
      <c r="A21" s="11">
        <v>2009</v>
      </c>
      <c r="B21" s="11">
        <v>49613</v>
      </c>
      <c r="C21" s="11" t="s">
        <v>17</v>
      </c>
      <c r="D21" s="11">
        <v>46635180</v>
      </c>
      <c r="E21" s="11">
        <f t="shared" si="0"/>
        <v>1.0638535114477954E-3</v>
      </c>
      <c r="F21" s="1"/>
    </row>
    <row r="22" spans="1:6" x14ac:dyDescent="0.35">
      <c r="A22" s="11">
        <v>2009</v>
      </c>
      <c r="B22" s="11">
        <v>29000</v>
      </c>
      <c r="C22" s="11" t="s">
        <v>18</v>
      </c>
      <c r="D22" s="11">
        <v>9298740</v>
      </c>
      <c r="E22" s="11">
        <f t="shared" si="0"/>
        <v>3.1187021037258813E-3</v>
      </c>
      <c r="F22" s="1"/>
    </row>
    <row r="23" spans="1:6" x14ac:dyDescent="0.35">
      <c r="A23" s="11">
        <v>2009</v>
      </c>
      <c r="B23" s="11">
        <v>0</v>
      </c>
      <c r="C23" s="11" t="s">
        <v>16</v>
      </c>
      <c r="D23" s="11">
        <v>2035608</v>
      </c>
      <c r="E23" s="11">
        <f t="shared" si="0"/>
        <v>0</v>
      </c>
      <c r="F23" s="1"/>
    </row>
    <row r="24" spans="1:6" x14ac:dyDescent="0.35">
      <c r="A24" s="11">
        <v>2009</v>
      </c>
      <c r="B24" s="11">
        <v>0</v>
      </c>
      <c r="C24" s="11" t="s">
        <v>20</v>
      </c>
      <c r="D24" s="11">
        <v>20576926.5</v>
      </c>
      <c r="E24" s="11">
        <f t="shared" si="0"/>
        <v>0</v>
      </c>
      <c r="F24" s="1"/>
    </row>
    <row r="25" spans="1:6" x14ac:dyDescent="0.35">
      <c r="A25" s="11">
        <v>2009</v>
      </c>
      <c r="B25" s="11">
        <v>0</v>
      </c>
      <c r="C25" s="11" t="s">
        <v>76</v>
      </c>
      <c r="D25" s="11">
        <v>2142042.5</v>
      </c>
      <c r="E25" s="11">
        <f t="shared" si="0"/>
        <v>0</v>
      </c>
      <c r="F25" s="1"/>
    </row>
    <row r="26" spans="1:6" x14ac:dyDescent="0.35">
      <c r="A26" s="11">
        <v>2009</v>
      </c>
      <c r="B26" s="11">
        <v>0</v>
      </c>
      <c r="C26" s="11" t="s">
        <v>24</v>
      </c>
      <c r="D26" s="11">
        <v>10001378</v>
      </c>
      <c r="E26" s="11">
        <f t="shared" si="0"/>
        <v>0</v>
      </c>
      <c r="F26" s="1"/>
    </row>
    <row r="27" spans="1:6" x14ac:dyDescent="0.35">
      <c r="A27" s="11">
        <v>2009</v>
      </c>
      <c r="B27" s="11">
        <v>0</v>
      </c>
      <c r="C27" s="11" t="s">
        <v>25</v>
      </c>
      <c r="D27" s="11">
        <v>3163254</v>
      </c>
      <c r="E27" s="11">
        <f t="shared" si="0"/>
        <v>0</v>
      </c>
      <c r="F27" s="1"/>
    </row>
    <row r="28" spans="1:6" x14ac:dyDescent="0.35">
      <c r="A28" s="11">
        <v>2009</v>
      </c>
      <c r="B28" s="11">
        <v>0</v>
      </c>
      <c r="C28" s="11" t="s">
        <v>26</v>
      </c>
      <c r="D28" s="11">
        <v>420794.5</v>
      </c>
      <c r="E28" s="11">
        <f t="shared" si="0"/>
        <v>0</v>
      </c>
      <c r="F28" s="1"/>
    </row>
    <row r="29" spans="1:6" x14ac:dyDescent="0.35">
      <c r="B29" s="11">
        <f>SUM(B2:B28)</f>
        <v>37083212</v>
      </c>
      <c r="D29" s="12">
        <f>SUM(D2:D28)</f>
        <v>497886483.5</v>
      </c>
      <c r="E29" s="11">
        <f t="shared" si="0"/>
        <v>7.4481258738569478E-2</v>
      </c>
      <c r="F29" s="1"/>
    </row>
    <row r="31" spans="1:6" x14ac:dyDescent="0.35">
      <c r="B31" s="14">
        <v>60712049.229999997</v>
      </c>
      <c r="C31" s="11" t="s">
        <v>58</v>
      </c>
    </row>
    <row r="32" spans="1:6" x14ac:dyDescent="0.35">
      <c r="B32" s="11">
        <f>B29/B31*100</f>
        <v>61.080481502963103</v>
      </c>
      <c r="C32" s="1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2DD98-2512-4F39-A8EE-4E87584F8ED1}">
  <dimension ref="A1:E33"/>
  <sheetViews>
    <sheetView topLeftCell="A22" zoomScaleNormal="100" workbookViewId="0">
      <selection activeCell="D1" sqref="D1:D1048576"/>
    </sheetView>
  </sheetViews>
  <sheetFormatPr defaultRowHeight="15.5" x14ac:dyDescent="0.35"/>
  <cols>
    <col min="1" max="1" width="9.5" style="11" customWidth="1"/>
    <col min="2" max="2" width="13" style="11" customWidth="1"/>
    <col min="3" max="3" width="16.1640625" style="11" customWidth="1"/>
    <col min="4" max="4" width="15.75" style="11" customWidth="1"/>
    <col min="5" max="5" width="8.6640625" style="11"/>
  </cols>
  <sheetData>
    <row r="1" spans="1:5" x14ac:dyDescent="0.35">
      <c r="A1" s="11" t="s">
        <v>21</v>
      </c>
      <c r="B1" s="11" t="s">
        <v>27</v>
      </c>
      <c r="C1" s="11" t="s">
        <v>22</v>
      </c>
      <c r="D1" s="11" t="s">
        <v>46</v>
      </c>
      <c r="E1" s="11" t="s">
        <v>47</v>
      </c>
    </row>
    <row r="2" spans="1:5" x14ac:dyDescent="0.35">
      <c r="A2" s="11">
        <v>2014</v>
      </c>
      <c r="B2" s="11">
        <v>338837</v>
      </c>
      <c r="C2" s="11" t="s">
        <v>0</v>
      </c>
      <c r="D2" s="11">
        <v>8547817.5</v>
      </c>
      <c r="E2" s="11">
        <f t="shared" ref="E2:E30" si="0">B2/D2</f>
        <v>3.9640177156332598E-2</v>
      </c>
    </row>
    <row r="3" spans="1:5" x14ac:dyDescent="0.35">
      <c r="A3" s="11">
        <v>2014</v>
      </c>
      <c r="B3" s="11">
        <v>6928012</v>
      </c>
      <c r="C3" s="11" t="s">
        <v>1</v>
      </c>
      <c r="D3" s="11">
        <v>11210119</v>
      </c>
      <c r="E3" s="11">
        <f t="shared" si="0"/>
        <v>0.61801413526475502</v>
      </c>
    </row>
    <row r="4" spans="1:5" x14ac:dyDescent="0.35">
      <c r="A4" s="11">
        <v>2014</v>
      </c>
      <c r="B4" s="11">
        <v>18500</v>
      </c>
      <c r="C4" s="11" t="s">
        <v>19</v>
      </c>
      <c r="D4" s="11">
        <v>7223449.5</v>
      </c>
      <c r="E4" s="11">
        <f t="shared" si="0"/>
        <v>2.56110325129289E-3</v>
      </c>
    </row>
    <row r="5" spans="1:5" x14ac:dyDescent="0.35">
      <c r="A5" s="11">
        <v>2014</v>
      </c>
      <c r="B5" s="11">
        <v>148345</v>
      </c>
      <c r="C5" s="11" t="s">
        <v>2</v>
      </c>
      <c r="D5" s="11">
        <v>1201800.5</v>
      </c>
      <c r="E5" s="11">
        <f t="shared" si="0"/>
        <v>0.12343562845913278</v>
      </c>
    </row>
    <row r="6" spans="1:5" x14ac:dyDescent="0.35">
      <c r="A6" s="11">
        <v>2014</v>
      </c>
      <c r="B6" s="11">
        <v>43245</v>
      </c>
      <c r="C6" s="11" t="s">
        <v>3</v>
      </c>
      <c r="D6" s="11">
        <v>10517225.5</v>
      </c>
      <c r="E6" s="11">
        <f t="shared" si="0"/>
        <v>4.111825880314157E-3</v>
      </c>
    </row>
    <row r="7" spans="1:5" x14ac:dyDescent="0.35">
      <c r="A7" s="11">
        <v>2014</v>
      </c>
      <c r="B7" s="11">
        <v>951391</v>
      </c>
      <c r="C7" s="11" t="s">
        <v>4</v>
      </c>
      <c r="D7" s="11">
        <v>5643794</v>
      </c>
      <c r="E7" s="11">
        <f t="shared" si="0"/>
        <v>0.16857294933160211</v>
      </c>
    </row>
    <row r="8" spans="1:5" x14ac:dyDescent="0.35">
      <c r="A8" s="11">
        <v>2014</v>
      </c>
      <c r="B8" s="11">
        <v>22726</v>
      </c>
      <c r="C8" s="11" t="s">
        <v>5</v>
      </c>
      <c r="D8" s="11">
        <v>1314452</v>
      </c>
      <c r="E8" s="11">
        <f t="shared" si="0"/>
        <v>1.7289334262491136E-2</v>
      </c>
    </row>
    <row r="9" spans="1:5" x14ac:dyDescent="0.35">
      <c r="A9" s="11">
        <v>2014</v>
      </c>
      <c r="B9" s="11">
        <v>50379</v>
      </c>
      <c r="C9" s="11" t="s">
        <v>6</v>
      </c>
      <c r="D9" s="11">
        <v>5461684</v>
      </c>
      <c r="E9" s="11">
        <f t="shared" si="0"/>
        <v>9.224078141466991E-3</v>
      </c>
    </row>
    <row r="10" spans="1:5" x14ac:dyDescent="0.35">
      <c r="A10" s="11">
        <v>2014</v>
      </c>
      <c r="B10" s="11">
        <v>4324657</v>
      </c>
      <c r="C10" s="11" t="s">
        <v>7</v>
      </c>
      <c r="D10" s="11">
        <v>64692492.5</v>
      </c>
      <c r="E10" s="11">
        <f t="shared" si="0"/>
        <v>6.6849441610245572E-2</v>
      </c>
    </row>
    <row r="11" spans="1:5" x14ac:dyDescent="0.35">
      <c r="A11" s="11">
        <v>2014</v>
      </c>
      <c r="B11" s="11">
        <v>7859038</v>
      </c>
      <c r="C11" s="11" t="s">
        <v>8</v>
      </c>
      <c r="D11" s="11">
        <v>81376080</v>
      </c>
      <c r="E11" s="11">
        <f t="shared" si="0"/>
        <v>9.6576758182502775E-2</v>
      </c>
    </row>
    <row r="12" spans="1:5" x14ac:dyDescent="0.35">
      <c r="A12" s="11">
        <v>2014</v>
      </c>
      <c r="B12" s="11">
        <v>135520</v>
      </c>
      <c r="C12" s="11" t="s">
        <v>9</v>
      </c>
      <c r="D12" s="11">
        <v>10893166.5</v>
      </c>
      <c r="E12" s="11">
        <f t="shared" si="0"/>
        <v>1.2440827008381814E-2</v>
      </c>
    </row>
    <row r="13" spans="1:5" x14ac:dyDescent="0.35">
      <c r="A13" s="11">
        <v>2014</v>
      </c>
      <c r="B13" s="11">
        <v>43739</v>
      </c>
      <c r="C13" s="11" t="s">
        <v>10</v>
      </c>
      <c r="D13" s="11">
        <v>327512.5</v>
      </c>
      <c r="E13" s="11">
        <f t="shared" si="0"/>
        <v>0.13354910117934429</v>
      </c>
    </row>
    <row r="14" spans="1:5" x14ac:dyDescent="0.35">
      <c r="A14" s="11">
        <v>2014</v>
      </c>
      <c r="B14" s="11">
        <v>447320</v>
      </c>
      <c r="C14" s="11" t="s">
        <v>11</v>
      </c>
      <c r="D14" s="11">
        <v>60664171.5</v>
      </c>
      <c r="E14" s="11">
        <f t="shared" si="0"/>
        <v>7.3737098676110663E-3</v>
      </c>
    </row>
    <row r="15" spans="1:5" x14ac:dyDescent="0.35">
      <c r="A15" s="11">
        <v>2014</v>
      </c>
      <c r="B15" s="11">
        <v>52669</v>
      </c>
      <c r="C15" s="11" t="s">
        <v>12</v>
      </c>
      <c r="D15" s="11">
        <v>556279</v>
      </c>
      <c r="E15" s="11">
        <f t="shared" si="0"/>
        <v>9.4680906523525066E-2</v>
      </c>
    </row>
    <row r="16" spans="1:5" x14ac:dyDescent="0.35">
      <c r="A16" s="11">
        <v>2014</v>
      </c>
      <c r="B16" s="11">
        <v>5426312</v>
      </c>
      <c r="C16" s="11" t="s">
        <v>52</v>
      </c>
      <c r="D16" s="11">
        <v>17030088.5</v>
      </c>
      <c r="E16" s="11">
        <f t="shared" si="0"/>
        <v>0.3186308749951593</v>
      </c>
    </row>
    <row r="17" spans="1:5" x14ac:dyDescent="0.35">
      <c r="A17" s="11">
        <v>2014</v>
      </c>
      <c r="B17" s="11">
        <v>186145</v>
      </c>
      <c r="C17" s="11" t="s">
        <v>13</v>
      </c>
      <c r="D17" s="11">
        <v>38265113</v>
      </c>
      <c r="E17" s="11">
        <f t="shared" si="0"/>
        <v>4.8646138847153022E-3</v>
      </c>
    </row>
    <row r="18" spans="1:5" x14ac:dyDescent="0.35">
      <c r="A18" s="11">
        <v>2014</v>
      </c>
      <c r="B18" s="11">
        <v>1091293</v>
      </c>
      <c r="C18" s="11" t="s">
        <v>14</v>
      </c>
      <c r="D18" s="11">
        <v>10406198.5</v>
      </c>
      <c r="E18" s="11">
        <f t="shared" si="0"/>
        <v>0.10486951599087793</v>
      </c>
    </row>
    <row r="19" spans="1:5" x14ac:dyDescent="0.35">
      <c r="A19" s="11">
        <v>2014</v>
      </c>
      <c r="B19" s="11">
        <v>2866</v>
      </c>
      <c r="C19" s="11" t="s">
        <v>15</v>
      </c>
      <c r="D19" s="11">
        <v>5415230.5</v>
      </c>
      <c r="E19" s="11">
        <f t="shared" si="0"/>
        <v>5.2924801631250968E-4</v>
      </c>
    </row>
    <row r="20" spans="1:5" x14ac:dyDescent="0.35">
      <c r="A20" s="11">
        <v>2014</v>
      </c>
      <c r="B20" s="11">
        <v>3193</v>
      </c>
      <c r="C20" s="11" t="s">
        <v>16</v>
      </c>
      <c r="D20" s="11">
        <v>2058400.5</v>
      </c>
      <c r="E20" s="11">
        <f t="shared" si="0"/>
        <v>1.5512044424785168E-3</v>
      </c>
    </row>
    <row r="21" spans="1:5" x14ac:dyDescent="0.35">
      <c r="A21" s="11">
        <v>2014</v>
      </c>
      <c r="B21" s="11">
        <v>158691</v>
      </c>
      <c r="C21" s="11" t="s">
        <v>17</v>
      </c>
      <c r="D21" s="11">
        <v>46720187.5</v>
      </c>
      <c r="E21" s="11">
        <f t="shared" si="0"/>
        <v>3.3966259232157403E-3</v>
      </c>
    </row>
    <row r="22" spans="1:5" x14ac:dyDescent="0.35">
      <c r="A22" s="11">
        <v>2014</v>
      </c>
      <c r="B22" s="11">
        <v>35000</v>
      </c>
      <c r="C22" s="11" t="s">
        <v>18</v>
      </c>
      <c r="D22" s="11">
        <v>9696433.5</v>
      </c>
      <c r="E22" s="11">
        <f t="shared" si="0"/>
        <v>3.6095745925550874E-3</v>
      </c>
    </row>
    <row r="23" spans="1:5" x14ac:dyDescent="0.35">
      <c r="A23" s="11">
        <v>2014</v>
      </c>
      <c r="B23" s="11">
        <v>7304384</v>
      </c>
      <c r="C23" s="11" t="s">
        <v>51</v>
      </c>
      <c r="D23" s="11">
        <v>64865916.5</v>
      </c>
      <c r="E23" s="11">
        <f t="shared" si="0"/>
        <v>0.11260742766195249</v>
      </c>
    </row>
    <row r="24" spans="1:5" x14ac:dyDescent="0.35">
      <c r="A24" s="11">
        <v>2014</v>
      </c>
      <c r="B24" s="11">
        <v>0</v>
      </c>
      <c r="C24" s="11" t="s">
        <v>26</v>
      </c>
      <c r="D24" s="11">
        <v>434484.5</v>
      </c>
      <c r="E24" s="11">
        <f t="shared" si="0"/>
        <v>0</v>
      </c>
    </row>
    <row r="25" spans="1:5" x14ac:dyDescent="0.35">
      <c r="A25" s="11">
        <v>2014</v>
      </c>
      <c r="B25" s="11">
        <v>0</v>
      </c>
      <c r="C25" s="11" t="s">
        <v>24</v>
      </c>
      <c r="D25" s="11">
        <v>9862842</v>
      </c>
      <c r="E25" s="11">
        <f t="shared" si="0"/>
        <v>0</v>
      </c>
    </row>
    <row r="26" spans="1:5" x14ac:dyDescent="0.35">
      <c r="A26" s="11">
        <v>2014</v>
      </c>
      <c r="B26" s="11">
        <v>0</v>
      </c>
      <c r="C26" s="11" t="s">
        <v>23</v>
      </c>
      <c r="D26" s="11">
        <v>4219479</v>
      </c>
      <c r="E26" s="11">
        <f t="shared" si="0"/>
        <v>0</v>
      </c>
    </row>
    <row r="27" spans="1:5" x14ac:dyDescent="0.35">
      <c r="A27" s="11">
        <v>2014</v>
      </c>
      <c r="B27" s="11">
        <v>0</v>
      </c>
      <c r="C27" s="11" t="s">
        <v>76</v>
      </c>
      <c r="D27" s="11">
        <v>1994149</v>
      </c>
      <c r="E27" s="11">
        <f t="shared" si="0"/>
        <v>0</v>
      </c>
    </row>
    <row r="28" spans="1:5" x14ac:dyDescent="0.35">
      <c r="A28" s="11">
        <v>2014</v>
      </c>
      <c r="B28" s="11">
        <v>0</v>
      </c>
      <c r="C28" s="11" t="s">
        <v>25</v>
      </c>
      <c r="D28" s="11">
        <v>2933168</v>
      </c>
      <c r="E28" s="11">
        <f t="shared" si="0"/>
        <v>0</v>
      </c>
    </row>
    <row r="29" spans="1:5" x14ac:dyDescent="0.35">
      <c r="A29" s="11">
        <v>2014</v>
      </c>
      <c r="B29" s="11">
        <v>0</v>
      </c>
      <c r="C29" s="11" t="s">
        <v>20</v>
      </c>
      <c r="D29" s="11">
        <v>19968174</v>
      </c>
      <c r="E29" s="11">
        <f t="shared" si="0"/>
        <v>0</v>
      </c>
    </row>
    <row r="30" spans="1:5" x14ac:dyDescent="0.35">
      <c r="B30" s="11">
        <f>SUM(B2:B29)</f>
        <v>35572262</v>
      </c>
      <c r="D30" s="11">
        <f>SUM(D2:D29)</f>
        <v>503499909</v>
      </c>
      <c r="E30" s="11">
        <f t="shared" si="0"/>
        <v>7.0649986949650079E-2</v>
      </c>
    </row>
    <row r="32" spans="1:5" x14ac:dyDescent="0.35">
      <c r="B32" s="11">
        <v>52099573</v>
      </c>
      <c r="C32" s="11" t="s">
        <v>58</v>
      </c>
    </row>
    <row r="33" spans="2:3" x14ac:dyDescent="0.35">
      <c r="B33" s="11">
        <f>B30/B32*100</f>
        <v>68.277454020592458</v>
      </c>
      <c r="C33" s="11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071E2-FDD4-4AE3-8DDB-42E8BC171BCF}">
  <dimension ref="A1:E34"/>
  <sheetViews>
    <sheetView topLeftCell="A11" zoomScale="115" zoomScaleNormal="115" workbookViewId="0">
      <selection sqref="A1:E1048576"/>
    </sheetView>
  </sheetViews>
  <sheetFormatPr defaultRowHeight="15.5" x14ac:dyDescent="0.35"/>
  <cols>
    <col min="1" max="1" width="8.9140625" style="7" bestFit="1" customWidth="1"/>
    <col min="2" max="2" width="9.83203125" style="7" bestFit="1" customWidth="1"/>
    <col min="3" max="3" width="27" style="7" customWidth="1"/>
    <col min="4" max="4" width="21.4140625" style="7" customWidth="1"/>
    <col min="5" max="5" width="12.58203125" style="8" customWidth="1"/>
  </cols>
  <sheetData>
    <row r="1" spans="1:5" x14ac:dyDescent="0.35">
      <c r="A1" s="7" t="s">
        <v>21</v>
      </c>
      <c r="B1" s="7" t="s">
        <v>28</v>
      </c>
      <c r="C1" s="7" t="s">
        <v>22</v>
      </c>
      <c r="D1" s="7" t="s">
        <v>46</v>
      </c>
      <c r="E1" s="7" t="s">
        <v>47</v>
      </c>
    </row>
    <row r="2" spans="1:5" x14ac:dyDescent="0.35">
      <c r="A2" s="7">
        <v>2019</v>
      </c>
      <c r="B2" s="7">
        <v>340170</v>
      </c>
      <c r="C2" s="7" t="s">
        <v>0</v>
      </c>
      <c r="D2" s="7">
        <v>8880876</v>
      </c>
      <c r="E2" s="8">
        <f t="shared" ref="E2:E30" si="0">B2/D2</f>
        <v>3.8303653828743921E-2</v>
      </c>
    </row>
    <row r="3" spans="1:5" x14ac:dyDescent="0.35">
      <c r="A3" s="7">
        <v>2019</v>
      </c>
      <c r="B3" s="7">
        <v>3076618.28</v>
      </c>
      <c r="C3" s="7" t="s">
        <v>1</v>
      </c>
      <c r="D3" s="7">
        <v>11490618</v>
      </c>
      <c r="E3" s="8">
        <f t="shared" si="0"/>
        <v>0.26775046215965059</v>
      </c>
    </row>
    <row r="4" spans="1:5" x14ac:dyDescent="0.35">
      <c r="A4" s="7">
        <v>2019</v>
      </c>
      <c r="B4" s="7">
        <v>0</v>
      </c>
      <c r="C4" s="7" t="s">
        <v>19</v>
      </c>
      <c r="D4" s="7">
        <v>6975469</v>
      </c>
      <c r="E4" s="8">
        <f t="shared" si="0"/>
        <v>0</v>
      </c>
    </row>
    <row r="5" spans="1:5" x14ac:dyDescent="0.35">
      <c r="A5" s="7">
        <v>2019</v>
      </c>
      <c r="B5" s="7">
        <v>0</v>
      </c>
      <c r="C5" s="7" t="s">
        <v>23</v>
      </c>
      <c r="D5" s="7">
        <v>3986334.5</v>
      </c>
      <c r="E5" s="8">
        <f t="shared" si="0"/>
        <v>0</v>
      </c>
    </row>
    <row r="6" spans="1:5" x14ac:dyDescent="0.35">
      <c r="A6" s="7">
        <v>2019</v>
      </c>
      <c r="B6" s="7">
        <v>148604</v>
      </c>
      <c r="C6" s="7" t="s">
        <v>3</v>
      </c>
      <c r="D6" s="7">
        <v>10554875</v>
      </c>
      <c r="E6" s="8">
        <f t="shared" si="0"/>
        <v>1.4079181420907401E-2</v>
      </c>
    </row>
    <row r="7" spans="1:5" x14ac:dyDescent="0.35">
      <c r="A7" s="7">
        <v>2019</v>
      </c>
      <c r="B7" s="7">
        <v>582380</v>
      </c>
      <c r="C7" s="7" t="s">
        <v>4</v>
      </c>
      <c r="D7" s="7">
        <v>5814618.5</v>
      </c>
      <c r="E7" s="8">
        <f t="shared" si="0"/>
        <v>0.10015790373865456</v>
      </c>
    </row>
    <row r="8" spans="1:5" x14ac:dyDescent="0.35">
      <c r="A8" s="7">
        <v>2019</v>
      </c>
      <c r="B8" s="7">
        <v>4775224</v>
      </c>
      <c r="C8" s="7" t="s">
        <v>51</v>
      </c>
      <c r="D8" s="7">
        <v>67110958</v>
      </c>
      <c r="E8" s="8">
        <f t="shared" si="0"/>
        <v>7.1154162335158436E-2</v>
      </c>
    </row>
    <row r="9" spans="1:5" x14ac:dyDescent="0.35">
      <c r="A9" s="7">
        <v>2019</v>
      </c>
      <c r="B9" s="7">
        <v>96080.7</v>
      </c>
      <c r="C9" s="7" t="s">
        <v>5</v>
      </c>
      <c r="D9" s="7">
        <v>1326821.5</v>
      </c>
      <c r="E9" s="8">
        <f t="shared" si="0"/>
        <v>7.2414186836737268E-2</v>
      </c>
    </row>
    <row r="10" spans="1:5" x14ac:dyDescent="0.35">
      <c r="A10" s="7">
        <v>2019</v>
      </c>
      <c r="B10" s="7">
        <v>4241.384</v>
      </c>
      <c r="C10" s="7" t="s">
        <v>6</v>
      </c>
      <c r="D10" s="7">
        <v>5521759</v>
      </c>
      <c r="E10" s="8">
        <f t="shared" si="0"/>
        <v>7.6812189738813307E-4</v>
      </c>
    </row>
    <row r="11" spans="1:5" x14ac:dyDescent="0.35">
      <c r="A11" s="7">
        <v>2019</v>
      </c>
      <c r="B11" s="7">
        <v>3223336</v>
      </c>
      <c r="C11" s="7" t="s">
        <v>7</v>
      </c>
      <c r="D11" s="7">
        <v>65729459</v>
      </c>
      <c r="E11" s="8">
        <f t="shared" si="0"/>
        <v>4.9039442116814012E-2</v>
      </c>
    </row>
    <row r="12" spans="1:5" x14ac:dyDescent="0.35">
      <c r="A12" s="7">
        <v>2019</v>
      </c>
      <c r="B12" s="7">
        <v>6615612.1689999998</v>
      </c>
      <c r="C12" s="7" t="s">
        <v>8</v>
      </c>
      <c r="D12" s="7">
        <v>83559186.5</v>
      </c>
      <c r="E12" s="8">
        <f t="shared" si="0"/>
        <v>7.9172768980942623E-2</v>
      </c>
    </row>
    <row r="13" spans="1:5" x14ac:dyDescent="0.35">
      <c r="A13" s="7">
        <v>2019</v>
      </c>
      <c r="B13" s="7">
        <v>434109</v>
      </c>
      <c r="C13" s="7" t="s">
        <v>9</v>
      </c>
      <c r="D13" s="7">
        <v>10718575.5</v>
      </c>
      <c r="E13" s="8">
        <f t="shared" si="0"/>
        <v>4.0500624360018736E-2</v>
      </c>
    </row>
    <row r="14" spans="1:5" x14ac:dyDescent="0.35">
      <c r="A14" s="7">
        <v>2019</v>
      </c>
      <c r="B14" s="7">
        <v>0</v>
      </c>
      <c r="C14" s="7" t="s">
        <v>24</v>
      </c>
      <c r="D14" s="7">
        <v>9770346.5</v>
      </c>
      <c r="E14" s="8">
        <f t="shared" si="0"/>
        <v>0</v>
      </c>
    </row>
    <row r="15" spans="1:5" x14ac:dyDescent="0.35">
      <c r="A15" s="7">
        <v>2019</v>
      </c>
      <c r="B15" s="7">
        <v>25048</v>
      </c>
      <c r="C15" s="7" t="s">
        <v>10</v>
      </c>
      <c r="D15" s="7">
        <v>4933491</v>
      </c>
      <c r="E15" s="8">
        <f t="shared" si="0"/>
        <v>5.0771350348059819E-3</v>
      </c>
    </row>
    <row r="16" spans="1:5" x14ac:dyDescent="0.35">
      <c r="A16" s="7">
        <v>2019</v>
      </c>
      <c r="B16" s="7">
        <v>26593</v>
      </c>
      <c r="C16" s="7" t="s">
        <v>11</v>
      </c>
      <c r="D16" s="7">
        <v>60130136</v>
      </c>
      <c r="E16" s="8">
        <f t="shared" si="0"/>
        <v>4.4225743976364861E-4</v>
      </c>
    </row>
    <row r="17" spans="1:5" x14ac:dyDescent="0.35">
      <c r="A17" s="7">
        <v>2019</v>
      </c>
      <c r="B17" s="7">
        <v>0</v>
      </c>
      <c r="C17" s="7" t="s">
        <v>76</v>
      </c>
      <c r="D17" s="7">
        <v>1914263</v>
      </c>
      <c r="E17" s="8">
        <f t="shared" si="0"/>
        <v>0</v>
      </c>
    </row>
    <row r="18" spans="1:5" x14ac:dyDescent="0.35">
      <c r="A18" s="7">
        <v>2019</v>
      </c>
      <c r="B18" s="7">
        <v>31970</v>
      </c>
      <c r="C18" s="7" t="s">
        <v>25</v>
      </c>
      <c r="D18" s="7">
        <v>2795058</v>
      </c>
      <c r="E18" s="8">
        <f t="shared" si="0"/>
        <v>1.1438045292798934E-2</v>
      </c>
    </row>
    <row r="19" spans="1:5" x14ac:dyDescent="0.35">
      <c r="A19" s="7">
        <v>2019</v>
      </c>
      <c r="B19" s="7">
        <v>162885</v>
      </c>
      <c r="C19" s="7" t="s">
        <v>12</v>
      </c>
      <c r="D19" s="7">
        <v>620163</v>
      </c>
      <c r="E19" s="8">
        <f t="shared" si="0"/>
        <v>0.26264869074743252</v>
      </c>
    </row>
    <row r="20" spans="1:5" x14ac:dyDescent="0.35">
      <c r="A20" s="7">
        <v>2019</v>
      </c>
      <c r="B20" s="7">
        <v>0</v>
      </c>
      <c r="C20" s="7" t="s">
        <v>26</v>
      </c>
      <c r="D20" s="7">
        <v>504015.5</v>
      </c>
      <c r="E20" s="8">
        <f t="shared" si="0"/>
        <v>0</v>
      </c>
    </row>
    <row r="21" spans="1:5" x14ac:dyDescent="0.35">
      <c r="A21" s="7">
        <v>2019</v>
      </c>
      <c r="B21" s="7">
        <v>218475</v>
      </c>
      <c r="C21" s="7" t="s">
        <v>13</v>
      </c>
      <c r="D21" s="7">
        <v>38225884.5</v>
      </c>
      <c r="E21" s="8">
        <f t="shared" si="0"/>
        <v>5.7153680773560644E-3</v>
      </c>
    </row>
    <row r="22" spans="1:5" x14ac:dyDescent="0.35">
      <c r="A22" s="7">
        <v>2019</v>
      </c>
      <c r="B22" s="7">
        <v>1435175</v>
      </c>
      <c r="C22" s="7" t="s">
        <v>14</v>
      </c>
      <c r="D22" s="7">
        <v>10343213</v>
      </c>
      <c r="E22" s="8">
        <f t="shared" si="0"/>
        <v>0.13875523978864207</v>
      </c>
    </row>
    <row r="23" spans="1:5" x14ac:dyDescent="0.35">
      <c r="A23" s="7">
        <v>2019</v>
      </c>
      <c r="B23" s="7">
        <v>80340</v>
      </c>
      <c r="C23" s="7" t="s">
        <v>20</v>
      </c>
      <c r="D23" s="7">
        <v>19501542</v>
      </c>
      <c r="E23" s="8">
        <f t="shared" si="0"/>
        <v>4.1196742288379046E-3</v>
      </c>
    </row>
    <row r="24" spans="1:5" x14ac:dyDescent="0.35">
      <c r="A24" s="7">
        <v>2019</v>
      </c>
      <c r="B24" s="7">
        <v>7128438</v>
      </c>
      <c r="C24" s="7" t="s">
        <v>52</v>
      </c>
      <c r="D24" s="7">
        <v>17537507</v>
      </c>
      <c r="E24" s="8">
        <f t="shared" si="0"/>
        <v>0.40646814852304836</v>
      </c>
    </row>
    <row r="25" spans="1:5" x14ac:dyDescent="0.35">
      <c r="A25" s="7">
        <v>2019</v>
      </c>
      <c r="B25" s="7">
        <v>10155</v>
      </c>
      <c r="C25" s="7" t="s">
        <v>15</v>
      </c>
      <c r="D25" s="7">
        <v>5450625.5</v>
      </c>
      <c r="E25" s="8">
        <f t="shared" si="0"/>
        <v>1.8630889243812477E-3</v>
      </c>
    </row>
    <row r="26" spans="1:5" x14ac:dyDescent="0.35">
      <c r="A26" s="7">
        <v>2019</v>
      </c>
      <c r="B26" s="7">
        <v>2646.8500000000004</v>
      </c>
      <c r="C26" s="7" t="s">
        <v>16</v>
      </c>
      <c r="D26" s="7">
        <v>2083439.5</v>
      </c>
      <c r="E26" s="8">
        <f t="shared" si="0"/>
        <v>1.2704232592307097E-3</v>
      </c>
    </row>
    <row r="27" spans="1:5" x14ac:dyDescent="0.35">
      <c r="A27" s="7">
        <v>2019</v>
      </c>
      <c r="B27" s="7">
        <v>309833.8</v>
      </c>
      <c r="C27" s="7" t="s">
        <v>17</v>
      </c>
      <c r="D27" s="7">
        <v>47435119</v>
      </c>
      <c r="E27" s="8">
        <f t="shared" si="0"/>
        <v>6.5317386470559926E-3</v>
      </c>
    </row>
    <row r="28" spans="1:5" x14ac:dyDescent="0.35">
      <c r="A28" s="7">
        <v>2019</v>
      </c>
      <c r="B28" s="7">
        <v>961.90800000000002</v>
      </c>
      <c r="C28" s="7" t="s">
        <v>18</v>
      </c>
      <c r="D28" s="7">
        <v>10279125</v>
      </c>
      <c r="E28" s="8">
        <f t="shared" si="0"/>
        <v>9.3578782240706282E-5</v>
      </c>
    </row>
    <row r="29" spans="1:5" x14ac:dyDescent="0.35">
      <c r="A29" s="7">
        <v>2019</v>
      </c>
      <c r="B29" s="7">
        <v>256880</v>
      </c>
      <c r="C29" s="7" t="s">
        <v>2</v>
      </c>
      <c r="D29" s="7">
        <v>1286671.5</v>
      </c>
      <c r="E29" s="8">
        <f t="shared" si="0"/>
        <v>0.19964691842478829</v>
      </c>
    </row>
    <row r="30" spans="1:5" x14ac:dyDescent="0.35">
      <c r="B30" s="7">
        <f>SUM(B2:B29)</f>
        <v>28985777.091000002</v>
      </c>
      <c r="D30" s="7">
        <f>SUM(D2:D29)</f>
        <v>514480150.5</v>
      </c>
      <c r="E30" s="8">
        <f t="shared" si="0"/>
        <v>5.6339932770642434E-2</v>
      </c>
    </row>
    <row r="33" spans="2:3" x14ac:dyDescent="0.35">
      <c r="B33" s="7">
        <v>43593801.600000001</v>
      </c>
      <c r="C33" s="7" t="s">
        <v>58</v>
      </c>
    </row>
    <row r="34" spans="2:3" x14ac:dyDescent="0.35">
      <c r="B34" s="7">
        <f>B30/B33*100</f>
        <v>66.490592761242468</v>
      </c>
      <c r="C34" s="7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10BEB-CFF0-424F-91FA-B804C1985037}">
  <dimension ref="A1:E32"/>
  <sheetViews>
    <sheetView zoomScale="115" zoomScaleNormal="115" workbookViewId="0">
      <selection sqref="A1:E1048576"/>
    </sheetView>
  </sheetViews>
  <sheetFormatPr defaultRowHeight="15.5" x14ac:dyDescent="0.35"/>
  <cols>
    <col min="1" max="1" width="8.6640625" style="12"/>
    <col min="2" max="2" width="14.1640625" style="12" customWidth="1"/>
    <col min="3" max="3" width="21.58203125" style="12" customWidth="1"/>
    <col min="4" max="4" width="17.83203125" style="12" customWidth="1"/>
    <col min="5" max="5" width="8.6640625" style="12"/>
  </cols>
  <sheetData>
    <row r="1" spans="1:5" s="2" customFormat="1" x14ac:dyDescent="0.35">
      <c r="A1" s="11" t="s">
        <v>21</v>
      </c>
      <c r="B1" s="11" t="s">
        <v>27</v>
      </c>
      <c r="C1" s="11" t="s">
        <v>22</v>
      </c>
      <c r="D1" s="11" t="s">
        <v>61</v>
      </c>
      <c r="E1" s="11" t="s">
        <v>62</v>
      </c>
    </row>
    <row r="2" spans="1:5" s="2" customFormat="1" x14ac:dyDescent="0.35">
      <c r="A2" s="11">
        <v>2024</v>
      </c>
      <c r="B2" s="11">
        <v>4252573.2309999997</v>
      </c>
      <c r="C2" s="11" t="s">
        <v>8</v>
      </c>
      <c r="D2" s="13">
        <v>84552242</v>
      </c>
      <c r="E2" s="11">
        <f t="shared" ref="E2:E29" si="0">B2/D2</f>
        <v>5.0295215483464051E-2</v>
      </c>
    </row>
    <row r="3" spans="1:5" s="2" customFormat="1" x14ac:dyDescent="0.35">
      <c r="A3" s="11">
        <v>2024</v>
      </c>
      <c r="B3" s="11">
        <v>4227781</v>
      </c>
      <c r="C3" s="11" t="s">
        <v>52</v>
      </c>
      <c r="D3" s="11">
        <v>18228741.5</v>
      </c>
      <c r="E3" s="11">
        <f t="shared" si="0"/>
        <v>0.2319293956744079</v>
      </c>
    </row>
    <row r="4" spans="1:5" s="2" customFormat="1" x14ac:dyDescent="0.35">
      <c r="A4" s="11">
        <v>2024</v>
      </c>
      <c r="B4" s="11">
        <v>2656252.77</v>
      </c>
      <c r="C4" s="11" t="s">
        <v>1</v>
      </c>
      <c r="D4" s="11">
        <v>11738763.5</v>
      </c>
      <c r="E4" s="11">
        <f t="shared" si="0"/>
        <v>0.22628045705154551</v>
      </c>
    </row>
    <row r="5" spans="1:5" s="2" customFormat="1" x14ac:dyDescent="0.35">
      <c r="A5" s="11">
        <v>2024</v>
      </c>
      <c r="B5" s="11">
        <v>2028542</v>
      </c>
      <c r="C5" s="11" t="s">
        <v>7</v>
      </c>
      <c r="D5" s="11">
        <v>66548530.499999903</v>
      </c>
      <c r="E5" s="11">
        <f t="shared" si="0"/>
        <v>3.0482145657596497E-2</v>
      </c>
    </row>
    <row r="6" spans="1:5" s="2" customFormat="1" x14ac:dyDescent="0.35">
      <c r="A6" s="11">
        <v>2024</v>
      </c>
      <c r="B6" s="11">
        <v>930080</v>
      </c>
      <c r="C6" s="11" t="s">
        <v>14</v>
      </c>
      <c r="D6" s="11">
        <v>10425292.5</v>
      </c>
      <c r="E6" s="11">
        <f t="shared" si="0"/>
        <v>8.9213803833321698E-2</v>
      </c>
    </row>
    <row r="7" spans="1:5" s="2" customFormat="1" x14ac:dyDescent="0.35">
      <c r="A7" s="11">
        <v>2024</v>
      </c>
      <c r="B7" s="11">
        <v>536129.6</v>
      </c>
      <c r="C7" s="11" t="s">
        <v>17</v>
      </c>
      <c r="D7" s="11">
        <v>47910526.5</v>
      </c>
      <c r="E7" s="11">
        <f t="shared" si="0"/>
        <v>1.1190225596873788E-2</v>
      </c>
    </row>
    <row r="8" spans="1:5" s="2" customFormat="1" x14ac:dyDescent="0.35">
      <c r="A8" s="11">
        <v>2024</v>
      </c>
      <c r="B8" s="11">
        <v>343444</v>
      </c>
      <c r="C8" s="11" t="s">
        <v>0</v>
      </c>
      <c r="D8" s="11">
        <v>9120813</v>
      </c>
      <c r="E8" s="11">
        <f t="shared" si="0"/>
        <v>3.765497659035439E-2</v>
      </c>
    </row>
    <row r="9" spans="1:5" s="2" customFormat="1" x14ac:dyDescent="0.35">
      <c r="A9" s="11">
        <v>2024</v>
      </c>
      <c r="B9" s="11">
        <v>283006</v>
      </c>
      <c r="C9" s="11" t="s">
        <v>2</v>
      </c>
      <c r="D9" s="11">
        <v>1358282</v>
      </c>
      <c r="E9" s="11">
        <f t="shared" si="0"/>
        <v>0.20835584952167518</v>
      </c>
    </row>
    <row r="10" spans="1:5" s="2" customFormat="1" x14ac:dyDescent="0.35">
      <c r="A10" s="11">
        <v>2024</v>
      </c>
      <c r="B10" s="11">
        <v>243519</v>
      </c>
      <c r="C10" s="11" t="s">
        <v>4</v>
      </c>
      <c r="D10" s="11">
        <v>5977412</v>
      </c>
      <c r="E10" s="11">
        <f t="shared" si="0"/>
        <v>4.0739872038266726E-2</v>
      </c>
    </row>
    <row r="11" spans="1:5" s="2" customFormat="1" x14ac:dyDescent="0.35">
      <c r="A11" s="11">
        <v>2024</v>
      </c>
      <c r="B11" s="11">
        <v>174511</v>
      </c>
      <c r="C11" s="11" t="s">
        <v>13</v>
      </c>
      <c r="D11" s="11">
        <v>38539201</v>
      </c>
      <c r="E11" s="11">
        <f t="shared" si="0"/>
        <v>4.5281426566160521E-3</v>
      </c>
    </row>
    <row r="12" spans="1:5" s="2" customFormat="1" x14ac:dyDescent="0.35">
      <c r="A12" s="11">
        <v>2024</v>
      </c>
      <c r="B12" s="11">
        <v>132242</v>
      </c>
      <c r="C12" s="11" t="s">
        <v>3</v>
      </c>
      <c r="D12" s="11">
        <v>10735859</v>
      </c>
      <c r="E12" s="11">
        <f t="shared" si="0"/>
        <v>1.2317784725004305E-2</v>
      </c>
    </row>
    <row r="13" spans="1:5" s="2" customFormat="1" x14ac:dyDescent="0.35">
      <c r="A13" s="11">
        <v>2024</v>
      </c>
      <c r="B13" s="11">
        <v>130432.357</v>
      </c>
      <c r="C13" s="11" t="s">
        <v>12</v>
      </c>
      <c r="D13" s="11">
        <v>673036</v>
      </c>
      <c r="E13" s="11">
        <f t="shared" si="0"/>
        <v>0.1937969989718232</v>
      </c>
    </row>
    <row r="14" spans="1:5" s="2" customFormat="1" x14ac:dyDescent="0.35">
      <c r="A14" s="11">
        <v>2024</v>
      </c>
      <c r="B14" s="11">
        <v>109700</v>
      </c>
      <c r="C14" s="11" t="s">
        <v>9</v>
      </c>
      <c r="D14" s="11">
        <v>10047816.5</v>
      </c>
      <c r="E14" s="11">
        <f t="shared" si="0"/>
        <v>1.0917794925892605E-2</v>
      </c>
    </row>
    <row r="15" spans="1:5" s="2" customFormat="1" x14ac:dyDescent="0.35">
      <c r="A15" s="11">
        <v>2024</v>
      </c>
      <c r="B15" s="11">
        <v>89333</v>
      </c>
      <c r="C15" s="11" t="s">
        <v>10</v>
      </c>
      <c r="D15" s="11">
        <v>5255017.5</v>
      </c>
      <c r="E15" s="11">
        <f t="shared" si="0"/>
        <v>1.699956279879182E-2</v>
      </c>
    </row>
    <row r="16" spans="1:5" s="2" customFormat="1" x14ac:dyDescent="0.35">
      <c r="A16" s="11">
        <v>2024</v>
      </c>
      <c r="B16" s="11">
        <v>69456</v>
      </c>
      <c r="C16" s="11" t="s">
        <v>20</v>
      </c>
      <c r="D16" s="11">
        <v>19015088</v>
      </c>
      <c r="E16" s="11">
        <f t="shared" si="0"/>
        <v>3.6526783362769606E-3</v>
      </c>
    </row>
    <row r="17" spans="1:5" s="2" customFormat="1" x14ac:dyDescent="0.35">
      <c r="A17" s="11">
        <v>2024</v>
      </c>
      <c r="B17" s="11">
        <v>66277</v>
      </c>
      <c r="C17" s="11" t="s">
        <v>6</v>
      </c>
      <c r="D17" s="11">
        <v>5617310.5</v>
      </c>
      <c r="E17" s="11">
        <f t="shared" si="0"/>
        <v>1.1798706872265651E-2</v>
      </c>
    </row>
    <row r="18" spans="1:5" s="2" customFormat="1" x14ac:dyDescent="0.35">
      <c r="A18" s="11">
        <v>2024</v>
      </c>
      <c r="B18" s="11">
        <v>36751.599999999999</v>
      </c>
      <c r="C18" s="11" t="s">
        <v>5</v>
      </c>
      <c r="D18" s="11">
        <v>1360546</v>
      </c>
      <c r="E18" s="11">
        <f t="shared" si="0"/>
        <v>2.7012390613768294E-2</v>
      </c>
    </row>
    <row r="19" spans="1:5" s="2" customFormat="1" x14ac:dyDescent="0.35">
      <c r="A19" s="11">
        <v>2024</v>
      </c>
      <c r="B19" s="11">
        <v>15867</v>
      </c>
      <c r="C19" s="11" t="s">
        <v>15</v>
      </c>
      <c r="D19" s="11">
        <v>5506759.5</v>
      </c>
      <c r="E19" s="11">
        <f t="shared" si="0"/>
        <v>2.8813678897725604E-3</v>
      </c>
    </row>
    <row r="20" spans="1:5" s="2" customFormat="1" x14ac:dyDescent="0.35">
      <c r="A20" s="11">
        <v>2024</v>
      </c>
      <c r="B20" s="11">
        <v>14125</v>
      </c>
      <c r="C20" s="11" t="s">
        <v>11</v>
      </c>
      <c r="D20" s="11">
        <v>59342867</v>
      </c>
      <c r="E20" s="11">
        <f t="shared" si="0"/>
        <v>2.3802355218193282E-4</v>
      </c>
    </row>
    <row r="21" spans="1:5" s="2" customFormat="1" x14ac:dyDescent="0.35">
      <c r="A21" s="11">
        <v>2024</v>
      </c>
      <c r="B21" s="11">
        <v>4000</v>
      </c>
      <c r="C21" s="11" t="s">
        <v>18</v>
      </c>
      <c r="D21" s="11">
        <v>10606999</v>
      </c>
      <c r="E21" s="11">
        <f t="shared" si="0"/>
        <v>3.7710949157249851E-4</v>
      </c>
    </row>
    <row r="22" spans="1:5" s="2" customFormat="1" x14ac:dyDescent="0.35">
      <c r="A22" s="11">
        <v>2024</v>
      </c>
      <c r="B22" s="11">
        <v>2429</v>
      </c>
      <c r="C22" s="11" t="s">
        <v>19</v>
      </c>
      <c r="D22" s="11">
        <v>6757688.5</v>
      </c>
      <c r="E22" s="11">
        <f t="shared" si="0"/>
        <v>3.5944243360729045E-4</v>
      </c>
    </row>
    <row r="23" spans="1:5" x14ac:dyDescent="0.35">
      <c r="A23" s="11">
        <v>2024</v>
      </c>
      <c r="B23" s="11">
        <v>1050</v>
      </c>
      <c r="C23" s="11" t="s">
        <v>16</v>
      </c>
      <c r="D23" s="11">
        <v>2118696.5</v>
      </c>
      <c r="E23" s="11">
        <f t="shared" si="0"/>
        <v>4.9558773519472945E-4</v>
      </c>
    </row>
    <row r="24" spans="1:5" x14ac:dyDescent="0.35">
      <c r="A24" s="11">
        <v>2024</v>
      </c>
      <c r="B24" s="11">
        <v>0</v>
      </c>
      <c r="C24" s="11" t="s">
        <v>23</v>
      </c>
      <c r="D24" s="11">
        <v>3875325</v>
      </c>
      <c r="E24" s="11">
        <f t="shared" si="0"/>
        <v>0</v>
      </c>
    </row>
    <row r="25" spans="1:5" x14ac:dyDescent="0.35">
      <c r="A25" s="11">
        <v>2024</v>
      </c>
      <c r="B25" s="11">
        <v>0</v>
      </c>
      <c r="C25" s="11" t="s">
        <v>24</v>
      </c>
      <c r="D25" s="11">
        <v>9676134.5</v>
      </c>
      <c r="E25" s="11">
        <f t="shared" si="0"/>
        <v>0</v>
      </c>
    </row>
    <row r="26" spans="1:5" x14ac:dyDescent="0.35">
      <c r="A26" s="11">
        <v>2024</v>
      </c>
      <c r="B26" s="11">
        <v>0</v>
      </c>
      <c r="C26" s="11" t="s">
        <v>76</v>
      </c>
      <c r="D26" s="11">
        <v>1871871.5</v>
      </c>
      <c r="E26" s="11">
        <f t="shared" si="0"/>
        <v>0</v>
      </c>
    </row>
    <row r="27" spans="1:5" x14ac:dyDescent="0.35">
      <c r="A27" s="11">
        <v>2024</v>
      </c>
      <c r="B27" s="11">
        <v>0</v>
      </c>
      <c r="C27" s="11" t="s">
        <v>25</v>
      </c>
      <c r="D27" s="11">
        <v>2859109.5</v>
      </c>
      <c r="E27" s="11">
        <f t="shared" si="0"/>
        <v>0</v>
      </c>
    </row>
    <row r="28" spans="1:5" x14ac:dyDescent="0.35">
      <c r="A28" s="11">
        <v>2024</v>
      </c>
      <c r="B28" s="11">
        <v>0</v>
      </c>
      <c r="C28" s="11" t="s">
        <v>26</v>
      </c>
      <c r="D28" s="11">
        <v>539607</v>
      </c>
      <c r="E28" s="11">
        <f t="shared" si="0"/>
        <v>0</v>
      </c>
    </row>
    <row r="29" spans="1:5" x14ac:dyDescent="0.35">
      <c r="B29" s="11">
        <f>SUM(B2:B28)</f>
        <v>16347501.557999998</v>
      </c>
      <c r="C29" s="11"/>
      <c r="D29" s="11">
        <f>SUM(D2:D28)</f>
        <v>450259535.99999988</v>
      </c>
      <c r="E29" s="11">
        <f t="shared" si="0"/>
        <v>3.6306841390250984E-2</v>
      </c>
    </row>
    <row r="31" spans="1:5" x14ac:dyDescent="0.35">
      <c r="B31" s="11">
        <v>31887336.579999998</v>
      </c>
      <c r="C31" s="11" t="s">
        <v>58</v>
      </c>
      <c r="E31" s="11"/>
    </row>
    <row r="32" spans="1:5" x14ac:dyDescent="0.35">
      <c r="B32" s="11">
        <f>B29/B31*100</f>
        <v>51.266437750255022</v>
      </c>
      <c r="C32" s="11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F2D04-D010-4E43-9C08-9D56E5DBB615}">
  <dimension ref="A1:G61"/>
  <sheetViews>
    <sheetView zoomScale="130" zoomScaleNormal="130" workbookViewId="0">
      <selection sqref="A1:E1048576"/>
    </sheetView>
  </sheetViews>
  <sheetFormatPr defaultRowHeight="15.5" x14ac:dyDescent="0.35"/>
  <cols>
    <col min="1" max="1" width="8.83203125" style="6" bestFit="1" customWidth="1"/>
    <col min="2" max="2" width="14.5" style="6" bestFit="1" customWidth="1"/>
    <col min="3" max="3" width="25.08203125" style="6" customWidth="1"/>
    <col min="4" max="4" width="16.08203125" style="18" customWidth="1"/>
    <col min="5" max="5" width="11.1640625" style="18" bestFit="1" customWidth="1"/>
  </cols>
  <sheetData>
    <row r="1" spans="1:7" x14ac:dyDescent="0.35">
      <c r="A1" s="11" t="s">
        <v>21</v>
      </c>
      <c r="B1" s="11" t="s">
        <v>28</v>
      </c>
      <c r="C1" s="11" t="s">
        <v>22</v>
      </c>
      <c r="D1" s="11" t="s">
        <v>46</v>
      </c>
      <c r="E1" s="11" t="s">
        <v>47</v>
      </c>
      <c r="F1" s="8"/>
      <c r="G1" s="8"/>
    </row>
    <row r="2" spans="1:7" x14ac:dyDescent="0.35">
      <c r="A2" s="11">
        <v>2009</v>
      </c>
      <c r="B2" s="11">
        <v>0</v>
      </c>
      <c r="C2" s="11" t="s">
        <v>29</v>
      </c>
      <c r="D2" s="11">
        <v>2961479.5</v>
      </c>
      <c r="E2" s="11">
        <f t="shared" ref="E2:E33" si="0">B2/D2</f>
        <v>0</v>
      </c>
      <c r="F2" s="8"/>
      <c r="G2" s="8"/>
    </row>
    <row r="3" spans="1:7" x14ac:dyDescent="0.35">
      <c r="A3" s="11">
        <v>2009</v>
      </c>
      <c r="B3" s="11">
        <v>0</v>
      </c>
      <c r="C3" s="11" t="s">
        <v>30</v>
      </c>
      <c r="D3" s="11">
        <v>83888</v>
      </c>
      <c r="E3" s="11">
        <f t="shared" si="0"/>
        <v>0</v>
      </c>
      <c r="F3" s="8"/>
      <c r="G3" s="8"/>
    </row>
    <row r="4" spans="1:7" x14ac:dyDescent="0.35">
      <c r="A4" s="11">
        <v>2009</v>
      </c>
      <c r="B4" s="11">
        <v>513800</v>
      </c>
      <c r="C4" s="11" t="s">
        <v>0</v>
      </c>
      <c r="D4" s="11">
        <v>8345065.5</v>
      </c>
      <c r="E4" s="11">
        <f t="shared" si="0"/>
        <v>6.156931901852658E-2</v>
      </c>
      <c r="F4" s="8"/>
      <c r="G4" s="8"/>
    </row>
    <row r="5" spans="1:7" x14ac:dyDescent="0.35">
      <c r="A5" s="11">
        <v>2009</v>
      </c>
      <c r="B5" s="11">
        <v>19544</v>
      </c>
      <c r="C5" s="11" t="s">
        <v>31</v>
      </c>
      <c r="D5" s="11">
        <v>9507337</v>
      </c>
      <c r="E5" s="11">
        <f t="shared" si="0"/>
        <v>2.0556755272270249E-3</v>
      </c>
      <c r="F5" s="8"/>
      <c r="G5" s="8"/>
    </row>
    <row r="6" spans="1:7" x14ac:dyDescent="0.35">
      <c r="A6" s="11">
        <v>2009</v>
      </c>
      <c r="B6" s="11">
        <v>12003321</v>
      </c>
      <c r="C6" s="11" t="s">
        <v>1</v>
      </c>
      <c r="D6" s="11">
        <v>10812935.5</v>
      </c>
      <c r="E6" s="11">
        <f t="shared" si="0"/>
        <v>1.1100890225415661</v>
      </c>
      <c r="F6" s="8"/>
      <c r="G6" s="8"/>
    </row>
    <row r="7" spans="1:7" x14ac:dyDescent="0.35">
      <c r="A7" s="11">
        <v>2009</v>
      </c>
      <c r="B7" s="11">
        <v>450</v>
      </c>
      <c r="C7" s="11" t="s">
        <v>32</v>
      </c>
      <c r="D7" s="11">
        <v>3879794</v>
      </c>
      <c r="E7" s="11">
        <f t="shared" si="0"/>
        <v>1.159855394384341E-4</v>
      </c>
      <c r="F7" s="8"/>
      <c r="G7" s="8"/>
    </row>
    <row r="8" spans="1:7" x14ac:dyDescent="0.35">
      <c r="A8" s="11">
        <v>2009</v>
      </c>
      <c r="B8" s="11">
        <v>28063</v>
      </c>
      <c r="C8" s="11" t="s">
        <v>19</v>
      </c>
      <c r="D8" s="11">
        <v>7488011.5</v>
      </c>
      <c r="E8" s="11">
        <f t="shared" si="0"/>
        <v>3.7477239451355008E-3</v>
      </c>
      <c r="F8" s="8"/>
      <c r="G8" s="8"/>
    </row>
    <row r="9" spans="1:7" x14ac:dyDescent="0.35">
      <c r="A9" s="11">
        <v>2009</v>
      </c>
      <c r="B9" s="11">
        <v>3500</v>
      </c>
      <c r="C9" s="11" t="s">
        <v>23</v>
      </c>
      <c r="D9" s="11">
        <v>4310530.5</v>
      </c>
      <c r="E9" s="11">
        <f t="shared" si="0"/>
        <v>8.1196502379463499E-4</v>
      </c>
      <c r="F9" s="8"/>
      <c r="G9" s="8"/>
    </row>
    <row r="10" spans="1:7" x14ac:dyDescent="0.35">
      <c r="A10" s="11">
        <v>2009</v>
      </c>
      <c r="B10" s="11">
        <v>16315</v>
      </c>
      <c r="C10" s="11" t="s">
        <v>3</v>
      </c>
      <c r="D10" s="11">
        <v>10420984.5</v>
      </c>
      <c r="E10" s="11">
        <f t="shared" si="0"/>
        <v>1.5655910437252835E-3</v>
      </c>
      <c r="F10" s="8"/>
      <c r="G10" s="8"/>
    </row>
    <row r="11" spans="1:7" x14ac:dyDescent="0.35">
      <c r="A11" s="11">
        <v>2009</v>
      </c>
      <c r="B11" s="11">
        <v>1451455</v>
      </c>
      <c r="C11" s="11" t="s">
        <v>4</v>
      </c>
      <c r="D11" s="11">
        <v>5523173</v>
      </c>
      <c r="E11" s="11">
        <f t="shared" si="0"/>
        <v>0.26279368761398564</v>
      </c>
      <c r="F11" s="8"/>
      <c r="G11" s="8"/>
    </row>
    <row r="12" spans="1:7" x14ac:dyDescent="0.35">
      <c r="A12" s="11">
        <v>2009</v>
      </c>
      <c r="B12" s="11">
        <v>430</v>
      </c>
      <c r="C12" s="11" t="s">
        <v>5</v>
      </c>
      <c r="D12" s="11">
        <v>1334528.5</v>
      </c>
      <c r="E12" s="11">
        <f t="shared" si="0"/>
        <v>3.2221117795536028E-4</v>
      </c>
      <c r="F12" s="8"/>
      <c r="G12" s="8"/>
    </row>
    <row r="13" spans="1:7" x14ac:dyDescent="0.35">
      <c r="A13" s="11">
        <v>2009</v>
      </c>
      <c r="B13" s="11">
        <v>0</v>
      </c>
      <c r="C13" s="11" t="s">
        <v>55</v>
      </c>
      <c r="D13" s="13">
        <v>48488.5</v>
      </c>
      <c r="E13" s="11">
        <f t="shared" si="0"/>
        <v>0</v>
      </c>
      <c r="F13" s="8"/>
      <c r="G13" s="8"/>
    </row>
    <row r="14" spans="1:7" x14ac:dyDescent="0.35">
      <c r="A14" s="11">
        <v>2009</v>
      </c>
      <c r="B14" s="11">
        <v>50938</v>
      </c>
      <c r="C14" s="11" t="s">
        <v>6</v>
      </c>
      <c r="D14" s="11">
        <v>5338856.5</v>
      </c>
      <c r="E14" s="11">
        <f t="shared" si="0"/>
        <v>9.5409944058245429E-3</v>
      </c>
      <c r="F14" s="8"/>
      <c r="G14" s="8"/>
    </row>
    <row r="15" spans="1:7" x14ac:dyDescent="0.35">
      <c r="A15" s="11">
        <v>2009</v>
      </c>
      <c r="B15" s="11">
        <v>3521100</v>
      </c>
      <c r="C15" s="11" t="s">
        <v>7</v>
      </c>
      <c r="D15" s="11">
        <v>63106463</v>
      </c>
      <c r="E15" s="11">
        <f t="shared" si="0"/>
        <v>5.5796186834302534E-2</v>
      </c>
      <c r="F15" s="8"/>
      <c r="G15" s="8"/>
    </row>
    <row r="16" spans="1:7" x14ac:dyDescent="0.35">
      <c r="A16" s="11">
        <v>2009</v>
      </c>
      <c r="B16" s="11">
        <v>6405233</v>
      </c>
      <c r="C16" s="11" t="s">
        <v>8</v>
      </c>
      <c r="D16" s="11">
        <v>80935283</v>
      </c>
      <c r="E16" s="11">
        <f t="shared" si="0"/>
        <v>7.9140181668358414E-2</v>
      </c>
      <c r="F16" s="8"/>
      <c r="G16" s="8"/>
    </row>
    <row r="17" spans="1:7" x14ac:dyDescent="0.35">
      <c r="A17" s="11">
        <v>2009</v>
      </c>
      <c r="B17" s="11">
        <v>0</v>
      </c>
      <c r="C17" s="11" t="s">
        <v>54</v>
      </c>
      <c r="D17" s="11">
        <v>30823</v>
      </c>
      <c r="E17" s="11">
        <f t="shared" si="0"/>
        <v>0</v>
      </c>
      <c r="F17" s="8"/>
      <c r="G17" s="8"/>
    </row>
    <row r="18" spans="1:7" x14ac:dyDescent="0.35">
      <c r="A18" s="11">
        <v>2009</v>
      </c>
      <c r="B18" s="11">
        <v>162400</v>
      </c>
      <c r="C18" s="11" t="s">
        <v>9</v>
      </c>
      <c r="D18" s="11">
        <v>11108069</v>
      </c>
      <c r="E18" s="11">
        <f t="shared" si="0"/>
        <v>1.4620002810569506E-2</v>
      </c>
      <c r="F18" s="8"/>
      <c r="G18" s="8"/>
    </row>
    <row r="19" spans="1:7" x14ac:dyDescent="0.35">
      <c r="A19" s="11">
        <v>2009</v>
      </c>
      <c r="B19" s="11">
        <v>0</v>
      </c>
      <c r="C19" s="11" t="s">
        <v>50</v>
      </c>
      <c r="D19" s="11">
        <v>61366</v>
      </c>
      <c r="E19" s="11">
        <f t="shared" si="0"/>
        <v>0</v>
      </c>
      <c r="F19" s="8"/>
      <c r="G19" s="8"/>
    </row>
    <row r="20" spans="1:7" x14ac:dyDescent="0.35">
      <c r="A20" s="11">
        <v>2009</v>
      </c>
      <c r="B20" s="11">
        <v>0</v>
      </c>
      <c r="C20" s="11" t="s">
        <v>24</v>
      </c>
      <c r="D20" s="11">
        <v>10001378</v>
      </c>
      <c r="E20" s="11">
        <f t="shared" si="0"/>
        <v>0</v>
      </c>
      <c r="F20" s="8"/>
      <c r="G20" s="8"/>
    </row>
    <row r="21" spans="1:7" x14ac:dyDescent="0.35">
      <c r="A21" s="11">
        <v>2009</v>
      </c>
      <c r="B21" s="11">
        <v>6857</v>
      </c>
      <c r="C21" s="11" t="s">
        <v>33</v>
      </c>
      <c r="D21" s="11">
        <v>318612</v>
      </c>
      <c r="E21" s="11">
        <f t="shared" si="0"/>
        <v>2.1521474395189134E-2</v>
      </c>
      <c r="F21" s="8"/>
      <c r="G21" s="8"/>
    </row>
    <row r="22" spans="1:7" x14ac:dyDescent="0.35">
      <c r="A22" s="11">
        <v>2009</v>
      </c>
      <c r="B22" s="11">
        <v>1157</v>
      </c>
      <c r="C22" s="11" t="s">
        <v>10</v>
      </c>
      <c r="D22" s="11">
        <v>4533752</v>
      </c>
      <c r="E22" s="11">
        <f t="shared" si="0"/>
        <v>2.5519702003991399E-4</v>
      </c>
      <c r="F22" s="8"/>
      <c r="G22" s="8"/>
    </row>
    <row r="23" spans="1:7" x14ac:dyDescent="0.35">
      <c r="A23" s="11">
        <v>2009</v>
      </c>
      <c r="B23" s="11">
        <v>0</v>
      </c>
      <c r="C23" s="11" t="s">
        <v>48</v>
      </c>
      <c r="D23" s="11">
        <v>82939.5</v>
      </c>
      <c r="E23" s="11">
        <f t="shared" si="0"/>
        <v>0</v>
      </c>
      <c r="F23" s="8"/>
      <c r="G23" s="8"/>
    </row>
    <row r="24" spans="1:7" x14ac:dyDescent="0.35">
      <c r="A24" s="11">
        <v>2009</v>
      </c>
      <c r="B24" s="11">
        <v>43773</v>
      </c>
      <c r="C24" s="11" t="s">
        <v>11</v>
      </c>
      <c r="D24" s="11">
        <v>59904010.5</v>
      </c>
      <c r="E24" s="11">
        <f t="shared" si="0"/>
        <v>7.3071902256026746E-4</v>
      </c>
      <c r="F24" s="8"/>
      <c r="G24" s="8"/>
    </row>
    <row r="25" spans="1:7" x14ac:dyDescent="0.35">
      <c r="A25" s="11">
        <v>2009</v>
      </c>
      <c r="B25" s="11">
        <v>0</v>
      </c>
      <c r="C25" s="11" t="s">
        <v>49</v>
      </c>
      <c r="D25" s="11">
        <v>96145</v>
      </c>
      <c r="E25" s="11">
        <f t="shared" si="0"/>
        <v>0</v>
      </c>
      <c r="F25" s="8"/>
      <c r="G25" s="8"/>
    </row>
    <row r="26" spans="1:7" x14ac:dyDescent="0.35">
      <c r="A26" s="11">
        <v>2009</v>
      </c>
      <c r="B26" s="11">
        <v>0</v>
      </c>
      <c r="C26" s="11" t="s">
        <v>53</v>
      </c>
      <c r="D26" s="13">
        <v>1794681.5</v>
      </c>
      <c r="E26" s="11">
        <f t="shared" si="0"/>
        <v>0</v>
      </c>
      <c r="F26" s="8"/>
      <c r="G26" s="8"/>
    </row>
    <row r="27" spans="1:7" x14ac:dyDescent="0.35">
      <c r="A27" s="11">
        <v>2009</v>
      </c>
      <c r="B27" s="11">
        <v>0</v>
      </c>
      <c r="C27" s="11" t="s">
        <v>76</v>
      </c>
      <c r="D27" s="11">
        <v>2142042.5</v>
      </c>
      <c r="E27" s="11">
        <f t="shared" si="0"/>
        <v>0</v>
      </c>
      <c r="F27" s="8"/>
      <c r="G27" s="8"/>
    </row>
    <row r="28" spans="1:7" x14ac:dyDescent="0.35">
      <c r="A28" s="11">
        <v>2009</v>
      </c>
      <c r="B28" s="11">
        <v>0</v>
      </c>
      <c r="C28" s="11" t="s">
        <v>34</v>
      </c>
      <c r="D28" s="11">
        <v>35717</v>
      </c>
      <c r="E28" s="11">
        <f t="shared" si="0"/>
        <v>0</v>
      </c>
      <c r="F28" s="8"/>
      <c r="G28" s="8"/>
    </row>
    <row r="29" spans="1:7" x14ac:dyDescent="0.35">
      <c r="A29" s="11">
        <v>2009</v>
      </c>
      <c r="B29" s="11">
        <v>0</v>
      </c>
      <c r="C29" s="11" t="s">
        <v>25</v>
      </c>
      <c r="D29" s="11">
        <v>3163254</v>
      </c>
      <c r="E29" s="11">
        <f t="shared" si="0"/>
        <v>0</v>
      </c>
      <c r="F29" s="8"/>
      <c r="G29" s="8"/>
    </row>
    <row r="30" spans="1:7" x14ac:dyDescent="0.35">
      <c r="A30" s="11">
        <v>2009</v>
      </c>
      <c r="B30" s="11">
        <v>52632</v>
      </c>
      <c r="C30" s="11" t="s">
        <v>12</v>
      </c>
      <c r="D30" s="11">
        <v>498186.5</v>
      </c>
      <c r="E30" s="11">
        <f t="shared" si="0"/>
        <v>0.10564718233031205</v>
      </c>
      <c r="F30" s="8"/>
      <c r="G30" s="8"/>
    </row>
    <row r="31" spans="1:7" x14ac:dyDescent="0.35">
      <c r="A31" s="11">
        <v>2009</v>
      </c>
      <c r="B31" s="11">
        <v>0</v>
      </c>
      <c r="C31" s="11" t="s">
        <v>26</v>
      </c>
      <c r="D31" s="11">
        <v>420794.5</v>
      </c>
      <c r="E31" s="11">
        <f t="shared" si="0"/>
        <v>0</v>
      </c>
      <c r="F31" s="8"/>
      <c r="G31" s="8"/>
    </row>
    <row r="32" spans="1:7" x14ac:dyDescent="0.35">
      <c r="A32" s="11">
        <v>2009</v>
      </c>
      <c r="B32" s="11">
        <v>3412</v>
      </c>
      <c r="C32" s="11" t="s">
        <v>35</v>
      </c>
      <c r="D32" s="11">
        <v>3706210</v>
      </c>
      <c r="E32" s="11">
        <f t="shared" si="0"/>
        <v>9.2061701846360563E-4</v>
      </c>
      <c r="F32" s="8"/>
      <c r="G32" s="8"/>
    </row>
    <row r="33" spans="1:7" x14ac:dyDescent="0.35">
      <c r="A33" s="11">
        <v>2009</v>
      </c>
      <c r="B33" s="11">
        <v>0</v>
      </c>
      <c r="C33" s="11" t="s">
        <v>36</v>
      </c>
      <c r="D33" s="11">
        <v>32363.5</v>
      </c>
      <c r="E33" s="11">
        <f t="shared" si="0"/>
        <v>0</v>
      </c>
      <c r="F33" s="8"/>
      <c r="G33" s="8"/>
    </row>
    <row r="34" spans="1:7" x14ac:dyDescent="0.35">
      <c r="A34" s="11">
        <v>2009</v>
      </c>
      <c r="B34" s="11">
        <v>60</v>
      </c>
      <c r="C34" s="11" t="s">
        <v>37</v>
      </c>
      <c r="D34" s="11">
        <v>632437.5</v>
      </c>
      <c r="E34" s="11">
        <f t="shared" ref="E34:E65" si="1">B34/D34</f>
        <v>9.4871034687222055E-5</v>
      </c>
      <c r="F34" s="8"/>
      <c r="G34" s="8"/>
    </row>
    <row r="35" spans="1:7" x14ac:dyDescent="0.35">
      <c r="A35" s="11">
        <v>2009</v>
      </c>
      <c r="B35" s="11">
        <v>4907892</v>
      </c>
      <c r="C35" s="11" t="s">
        <v>52</v>
      </c>
      <c r="D35" s="11">
        <v>16684150</v>
      </c>
      <c r="E35" s="11">
        <f t="shared" si="1"/>
        <v>0.2941649409769152</v>
      </c>
      <c r="F35" s="8"/>
      <c r="G35" s="8"/>
    </row>
    <row r="36" spans="1:7" x14ac:dyDescent="0.35">
      <c r="A36" s="11">
        <v>2009</v>
      </c>
      <c r="B36" s="11">
        <v>0</v>
      </c>
      <c r="C36" s="11" t="s">
        <v>38</v>
      </c>
      <c r="D36" s="11">
        <v>2060598.5</v>
      </c>
      <c r="E36" s="11">
        <f t="shared" si="1"/>
        <v>0</v>
      </c>
      <c r="F36" s="8"/>
      <c r="G36" s="8"/>
    </row>
    <row r="37" spans="1:7" x14ac:dyDescent="0.35">
      <c r="A37" s="11">
        <v>2009</v>
      </c>
      <c r="B37" s="11">
        <v>569070</v>
      </c>
      <c r="C37" s="11" t="s">
        <v>39</v>
      </c>
      <c r="D37" s="11">
        <v>4828622.5</v>
      </c>
      <c r="E37" s="11">
        <f t="shared" si="1"/>
        <v>0.11785348720054219</v>
      </c>
      <c r="F37" s="8"/>
      <c r="G37" s="8"/>
    </row>
    <row r="38" spans="1:7" x14ac:dyDescent="0.35">
      <c r="A38" s="11">
        <v>2009</v>
      </c>
      <c r="B38" s="11">
        <v>200709</v>
      </c>
      <c r="C38" s="11" t="s">
        <v>13</v>
      </c>
      <c r="D38" s="11">
        <v>38002155</v>
      </c>
      <c r="E38" s="11">
        <f t="shared" si="1"/>
        <v>5.281516271906159E-3</v>
      </c>
      <c r="F38" s="8"/>
      <c r="G38" s="8"/>
    </row>
    <row r="39" spans="1:7" x14ac:dyDescent="0.35">
      <c r="A39" s="11">
        <v>2009</v>
      </c>
      <c r="B39" s="11">
        <v>790530</v>
      </c>
      <c r="C39" s="11" t="s">
        <v>14</v>
      </c>
      <c r="D39" s="11">
        <v>10576267</v>
      </c>
      <c r="E39" s="11">
        <f t="shared" si="1"/>
        <v>7.4745654586821614E-2</v>
      </c>
      <c r="F39" s="8"/>
      <c r="G39" s="8"/>
    </row>
    <row r="40" spans="1:7" x14ac:dyDescent="0.35">
      <c r="A40" s="11">
        <v>2009</v>
      </c>
      <c r="B40" s="11">
        <v>0</v>
      </c>
      <c r="C40" s="11" t="s">
        <v>40</v>
      </c>
      <c r="D40" s="11">
        <v>7425347.5</v>
      </c>
      <c r="E40" s="11">
        <f t="shared" si="1"/>
        <v>0</v>
      </c>
      <c r="F40" s="8"/>
      <c r="G40" s="8"/>
    </row>
    <row r="41" spans="1:7" x14ac:dyDescent="0.35">
      <c r="A41" s="11">
        <v>2009</v>
      </c>
      <c r="B41" s="11">
        <v>0</v>
      </c>
      <c r="C41" s="11" t="s">
        <v>20</v>
      </c>
      <c r="D41" s="11">
        <v>20576926.5</v>
      </c>
      <c r="E41" s="11">
        <f t="shared" si="1"/>
        <v>0</v>
      </c>
      <c r="F41" s="8"/>
      <c r="G41" s="8"/>
    </row>
    <row r="42" spans="1:7" x14ac:dyDescent="0.35">
      <c r="A42" s="11">
        <v>2009</v>
      </c>
      <c r="B42" s="11">
        <v>1473120</v>
      </c>
      <c r="C42" s="11" t="s">
        <v>41</v>
      </c>
      <c r="D42" s="11">
        <v>143869132</v>
      </c>
      <c r="E42" s="11">
        <f t="shared" si="1"/>
        <v>1.0239305537757745E-2</v>
      </c>
      <c r="F42" s="8"/>
      <c r="G42" s="8"/>
    </row>
    <row r="43" spans="1:7" x14ac:dyDescent="0.35">
      <c r="A43" s="11">
        <v>2009</v>
      </c>
      <c r="B43" s="11">
        <v>0</v>
      </c>
      <c r="C43" s="11" t="s">
        <v>42</v>
      </c>
      <c r="D43" s="11">
        <v>30090</v>
      </c>
      <c r="E43" s="11">
        <f t="shared" si="1"/>
        <v>0</v>
      </c>
      <c r="F43" s="8"/>
      <c r="G43" s="8"/>
    </row>
    <row r="44" spans="1:7" x14ac:dyDescent="0.35">
      <c r="A44" s="11">
        <v>2009</v>
      </c>
      <c r="B44" s="11">
        <v>5382</v>
      </c>
      <c r="C44" s="11" t="s">
        <v>15</v>
      </c>
      <c r="D44" s="11">
        <v>5385072.5</v>
      </c>
      <c r="E44" s="11">
        <f t="shared" si="1"/>
        <v>9.9942944129350155E-4</v>
      </c>
      <c r="F44" s="8"/>
      <c r="G44" s="8"/>
    </row>
    <row r="45" spans="1:7" x14ac:dyDescent="0.35">
      <c r="A45" s="11">
        <v>2009</v>
      </c>
      <c r="B45" s="11">
        <v>1343</v>
      </c>
      <c r="C45" s="11" t="s">
        <v>16</v>
      </c>
      <c r="D45" s="11">
        <v>2035608</v>
      </c>
      <c r="E45" s="11">
        <f t="shared" si="1"/>
        <v>6.597537443358446E-4</v>
      </c>
      <c r="F45" s="8"/>
      <c r="G45" s="8"/>
    </row>
    <row r="46" spans="1:7" x14ac:dyDescent="0.35">
      <c r="A46" s="11">
        <v>2009</v>
      </c>
      <c r="B46" s="11">
        <v>49613</v>
      </c>
      <c r="C46" s="11" t="s">
        <v>17</v>
      </c>
      <c r="D46" s="11">
        <v>46635180</v>
      </c>
      <c r="E46" s="11">
        <f t="shared" si="1"/>
        <v>1.0638535114477954E-3</v>
      </c>
      <c r="F46" s="8"/>
      <c r="G46" s="8"/>
    </row>
    <row r="47" spans="1:7" x14ac:dyDescent="0.35">
      <c r="A47" s="11">
        <v>2009</v>
      </c>
      <c r="B47" s="11">
        <v>29000</v>
      </c>
      <c r="C47" s="11" t="s">
        <v>18</v>
      </c>
      <c r="D47" s="11">
        <v>9298740</v>
      </c>
      <c r="E47" s="11">
        <f t="shared" si="1"/>
        <v>3.1187021037258813E-3</v>
      </c>
      <c r="F47" s="8"/>
      <c r="G47" s="8"/>
    </row>
    <row r="48" spans="1:7" x14ac:dyDescent="0.35">
      <c r="A48" s="11">
        <v>2009</v>
      </c>
      <c r="B48" s="11">
        <v>315805</v>
      </c>
      <c r="C48" s="11" t="s">
        <v>43</v>
      </c>
      <c r="D48" s="11">
        <v>7737645</v>
      </c>
      <c r="E48" s="11">
        <f t="shared" si="1"/>
        <v>4.0814097829507553E-2</v>
      </c>
      <c r="F48" s="8"/>
      <c r="G48" s="8"/>
    </row>
    <row r="49" spans="1:7" x14ac:dyDescent="0.35">
      <c r="A49" s="11">
        <v>2009</v>
      </c>
      <c r="B49" s="11">
        <v>81067</v>
      </c>
      <c r="C49" s="11" t="s">
        <v>44</v>
      </c>
      <c r="D49" s="11">
        <v>46623731</v>
      </c>
      <c r="E49" s="11">
        <f t="shared" si="1"/>
        <v>1.7387497366952464E-3</v>
      </c>
      <c r="F49" s="8"/>
      <c r="G49" s="8"/>
    </row>
    <row r="50" spans="1:7" x14ac:dyDescent="0.35">
      <c r="A50" s="11">
        <v>2009</v>
      </c>
      <c r="B50" s="11">
        <v>6803855</v>
      </c>
      <c r="C50" s="11" t="s">
        <v>51</v>
      </c>
      <c r="D50" s="11">
        <v>62506225.5</v>
      </c>
      <c r="E50" s="11">
        <f t="shared" si="1"/>
        <v>0.10885083758576976</v>
      </c>
      <c r="F50" s="8"/>
      <c r="G50" s="8"/>
    </row>
    <row r="51" spans="1:7" x14ac:dyDescent="0.35">
      <c r="A51" s="11"/>
      <c r="B51" s="11"/>
      <c r="C51" s="11"/>
      <c r="D51" s="11"/>
      <c r="E51" s="11"/>
      <c r="F51" s="8"/>
      <c r="G51" s="8"/>
    </row>
    <row r="52" spans="1:7" x14ac:dyDescent="0.35">
      <c r="A52" s="11"/>
      <c r="B52" s="11">
        <f>SUM(B2:B51)</f>
        <v>39511826</v>
      </c>
      <c r="C52" s="11" t="s">
        <v>57</v>
      </c>
      <c r="D52" s="11">
        <f>SUM(D2:D50)</f>
        <v>736935091.5</v>
      </c>
      <c r="E52" s="11">
        <f>B52/D52</f>
        <v>5.3616426271105314E-2</v>
      </c>
      <c r="F52" s="8"/>
      <c r="G52" s="8"/>
    </row>
    <row r="53" spans="1:7" x14ac:dyDescent="0.35">
      <c r="A53" s="11"/>
      <c r="B53" s="16">
        <v>1954417</v>
      </c>
      <c r="C53" s="11" t="s">
        <v>56</v>
      </c>
      <c r="D53" s="11">
        <v>1342522716</v>
      </c>
      <c r="E53" s="11">
        <f>B53/D53</f>
        <v>1.4557794640697908E-3</v>
      </c>
      <c r="F53" s="8"/>
      <c r="G53" s="8"/>
    </row>
    <row r="54" spans="1:7" x14ac:dyDescent="0.35">
      <c r="A54" s="11"/>
      <c r="B54" s="11"/>
      <c r="C54" s="11"/>
      <c r="D54" s="11"/>
      <c r="E54" s="11"/>
      <c r="F54" s="8"/>
      <c r="G54" s="8"/>
    </row>
    <row r="55" spans="1:7" x14ac:dyDescent="0.35">
      <c r="A55" s="11"/>
      <c r="B55" s="17">
        <v>60712049.229999997</v>
      </c>
      <c r="C55" s="11" t="s">
        <v>58</v>
      </c>
      <c r="D55" s="11"/>
      <c r="E55" s="11"/>
      <c r="F55" s="8"/>
      <c r="G55" s="8"/>
    </row>
    <row r="56" spans="1:7" x14ac:dyDescent="0.35">
      <c r="A56" s="11"/>
      <c r="B56" s="11">
        <f>B52/B55*100</f>
        <v>65.080698973468003</v>
      </c>
      <c r="C56" s="11" t="s">
        <v>59</v>
      </c>
      <c r="D56" s="11"/>
      <c r="E56" s="11"/>
      <c r="F56" s="8"/>
      <c r="G56" s="8"/>
    </row>
    <row r="57" spans="1:7" x14ac:dyDescent="0.35">
      <c r="B57" s="6">
        <f>B53/B55*100</f>
        <v>3.2191583463044315</v>
      </c>
      <c r="C57" s="6" t="s">
        <v>60</v>
      </c>
    </row>
    <row r="61" spans="1:7" x14ac:dyDescent="0.35">
      <c r="D61" s="19"/>
    </row>
  </sheetData>
  <sortState xmlns:xlrd2="http://schemas.microsoft.com/office/spreadsheetml/2017/richdata2" ref="A2:C51">
    <sortCondition ref="C2:C5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2ACC-A5E6-4AD7-8BE7-3A0BCBE19FAA}">
  <dimension ref="A1:G56"/>
  <sheetViews>
    <sheetView zoomScale="130" zoomScaleNormal="130" workbookViewId="0">
      <selection sqref="A1:E1048576"/>
    </sheetView>
  </sheetViews>
  <sheetFormatPr defaultRowHeight="15.5" x14ac:dyDescent="0.35"/>
  <cols>
    <col min="1" max="1" width="8.6640625" style="12"/>
    <col min="2" max="2" width="11.58203125" style="12" customWidth="1"/>
    <col min="3" max="3" width="23.6640625" style="11" customWidth="1"/>
    <col min="4" max="4" width="16.08203125" style="11" customWidth="1"/>
    <col min="5" max="5" width="8.6640625" style="11"/>
    <col min="6" max="7" width="8.6640625" style="8"/>
  </cols>
  <sheetData>
    <row r="1" spans="1:5" x14ac:dyDescent="0.35">
      <c r="A1" s="11" t="s">
        <v>21</v>
      </c>
      <c r="B1" s="11" t="s">
        <v>28</v>
      </c>
      <c r="C1" s="11" t="s">
        <v>22</v>
      </c>
      <c r="D1" s="11" t="s">
        <v>46</v>
      </c>
      <c r="E1" s="11" t="s">
        <v>47</v>
      </c>
    </row>
    <row r="2" spans="1:5" x14ac:dyDescent="0.35">
      <c r="A2" s="11">
        <v>2014</v>
      </c>
      <c r="B2" s="11">
        <v>0</v>
      </c>
      <c r="C2" s="11" t="s">
        <v>29</v>
      </c>
      <c r="D2" s="11">
        <v>2903749.5</v>
      </c>
      <c r="E2" s="11">
        <f t="shared" ref="E2:E33" si="0">B2/D2</f>
        <v>0</v>
      </c>
    </row>
    <row r="3" spans="1:5" x14ac:dyDescent="0.35">
      <c r="A3" s="11">
        <v>2014</v>
      </c>
      <c r="B3" s="11">
        <v>0</v>
      </c>
      <c r="C3" s="11" t="s">
        <v>30</v>
      </c>
      <c r="D3" s="11">
        <v>73737</v>
      </c>
      <c r="E3" s="11">
        <f t="shared" si="0"/>
        <v>0</v>
      </c>
    </row>
    <row r="4" spans="1:5" x14ac:dyDescent="0.35">
      <c r="A4" s="11">
        <v>2014</v>
      </c>
      <c r="B4" s="11">
        <v>338837</v>
      </c>
      <c r="C4" s="11" t="s">
        <v>0</v>
      </c>
      <c r="D4" s="11">
        <v>8547817.5</v>
      </c>
      <c r="E4" s="11">
        <f t="shared" si="0"/>
        <v>3.9640177156332598E-2</v>
      </c>
    </row>
    <row r="5" spans="1:5" x14ac:dyDescent="0.35">
      <c r="A5" s="11">
        <v>2014</v>
      </c>
      <c r="B5" s="11">
        <v>0</v>
      </c>
      <c r="C5" s="11" t="s">
        <v>31</v>
      </c>
      <c r="D5" s="11">
        <v>9472707.5</v>
      </c>
      <c r="E5" s="11">
        <f t="shared" si="0"/>
        <v>0</v>
      </c>
    </row>
    <row r="6" spans="1:5" x14ac:dyDescent="0.35">
      <c r="A6" s="11">
        <v>2014</v>
      </c>
      <c r="B6" s="11">
        <v>6928012</v>
      </c>
      <c r="C6" s="11" t="s">
        <v>1</v>
      </c>
      <c r="D6" s="11">
        <v>11210119</v>
      </c>
      <c r="E6" s="11">
        <f t="shared" si="0"/>
        <v>0.61801413526475502</v>
      </c>
    </row>
    <row r="7" spans="1:5" x14ac:dyDescent="0.35">
      <c r="A7" s="11">
        <v>2014</v>
      </c>
      <c r="B7" s="11">
        <v>1214</v>
      </c>
      <c r="C7" s="11" t="s">
        <v>32</v>
      </c>
      <c r="D7" s="11">
        <v>3564829</v>
      </c>
      <c r="E7" s="11">
        <f t="shared" si="0"/>
        <v>3.4054929422982138E-4</v>
      </c>
    </row>
    <row r="8" spans="1:5" x14ac:dyDescent="0.35">
      <c r="A8" s="11">
        <v>2014</v>
      </c>
      <c r="B8" s="11">
        <v>18500</v>
      </c>
      <c r="C8" s="11" t="s">
        <v>19</v>
      </c>
      <c r="D8" s="11">
        <v>7223449.5</v>
      </c>
      <c r="E8" s="11">
        <f t="shared" si="0"/>
        <v>2.56110325129289E-3</v>
      </c>
    </row>
    <row r="9" spans="1:5" x14ac:dyDescent="0.35">
      <c r="A9" s="11">
        <v>2014</v>
      </c>
      <c r="B9" s="11">
        <v>0</v>
      </c>
      <c r="C9" s="11" t="s">
        <v>23</v>
      </c>
      <c r="D9" s="11">
        <v>4219479</v>
      </c>
      <c r="E9" s="11">
        <f t="shared" si="0"/>
        <v>0</v>
      </c>
    </row>
    <row r="10" spans="1:5" x14ac:dyDescent="0.35">
      <c r="A10" s="11">
        <v>2014</v>
      </c>
      <c r="B10" s="11">
        <v>43245</v>
      </c>
      <c r="C10" s="11" t="s">
        <v>3</v>
      </c>
      <c r="D10" s="11">
        <v>10517225.5</v>
      </c>
      <c r="E10" s="11">
        <f t="shared" si="0"/>
        <v>4.111825880314157E-3</v>
      </c>
    </row>
    <row r="11" spans="1:5" x14ac:dyDescent="0.35">
      <c r="A11" s="11">
        <v>2014</v>
      </c>
      <c r="B11" s="11">
        <v>951391</v>
      </c>
      <c r="C11" s="11" t="s">
        <v>4</v>
      </c>
      <c r="D11" s="11">
        <v>5643794</v>
      </c>
      <c r="E11" s="11">
        <f t="shared" si="0"/>
        <v>0.16857294933160211</v>
      </c>
    </row>
    <row r="12" spans="1:5" x14ac:dyDescent="0.35">
      <c r="A12" s="11">
        <v>2014</v>
      </c>
      <c r="B12" s="11">
        <v>22726</v>
      </c>
      <c r="C12" s="11" t="s">
        <v>5</v>
      </c>
      <c r="D12" s="11">
        <v>1314452</v>
      </c>
      <c r="E12" s="11">
        <f t="shared" si="0"/>
        <v>1.7289334262491136E-2</v>
      </c>
    </row>
    <row r="13" spans="1:5" x14ac:dyDescent="0.35">
      <c r="A13" s="11">
        <v>2014</v>
      </c>
      <c r="B13" s="11">
        <v>0</v>
      </c>
      <c r="C13" s="11" t="s">
        <v>55</v>
      </c>
      <c r="D13" s="11">
        <v>48490.5</v>
      </c>
      <c r="E13" s="11">
        <f t="shared" si="0"/>
        <v>0</v>
      </c>
    </row>
    <row r="14" spans="1:5" x14ac:dyDescent="0.35">
      <c r="A14" s="11">
        <v>2014</v>
      </c>
      <c r="B14" s="11">
        <v>50379</v>
      </c>
      <c r="C14" s="11" t="s">
        <v>6</v>
      </c>
      <c r="D14" s="11">
        <v>5461684</v>
      </c>
      <c r="E14" s="11">
        <f t="shared" si="0"/>
        <v>9.224078141466991E-3</v>
      </c>
    </row>
    <row r="15" spans="1:5" x14ac:dyDescent="0.35">
      <c r="A15" s="11">
        <v>2014</v>
      </c>
      <c r="B15" s="11">
        <v>4324657</v>
      </c>
      <c r="C15" s="11" t="s">
        <v>7</v>
      </c>
      <c r="D15" s="11">
        <v>64692492.5</v>
      </c>
      <c r="E15" s="11">
        <f t="shared" si="0"/>
        <v>6.6849441610245572E-2</v>
      </c>
    </row>
    <row r="16" spans="1:5" x14ac:dyDescent="0.35">
      <c r="A16" s="11">
        <v>2014</v>
      </c>
      <c r="B16" s="11">
        <v>7859038</v>
      </c>
      <c r="C16" s="11" t="s">
        <v>8</v>
      </c>
      <c r="D16" s="11">
        <v>81376080</v>
      </c>
      <c r="E16" s="11">
        <f t="shared" si="0"/>
        <v>9.6576758182502775E-2</v>
      </c>
    </row>
    <row r="17" spans="1:5" x14ac:dyDescent="0.35">
      <c r="A17" s="11">
        <v>2014</v>
      </c>
      <c r="B17" s="11">
        <v>0</v>
      </c>
      <c r="C17" s="11" t="s">
        <v>54</v>
      </c>
      <c r="D17" s="11">
        <v>32813</v>
      </c>
      <c r="E17" s="11">
        <f t="shared" si="0"/>
        <v>0</v>
      </c>
    </row>
    <row r="18" spans="1:5" x14ac:dyDescent="0.35">
      <c r="A18" s="11">
        <v>2014</v>
      </c>
      <c r="B18" s="11">
        <v>135520</v>
      </c>
      <c r="C18" s="11" t="s">
        <v>9</v>
      </c>
      <c r="D18" s="11">
        <v>10893166.5</v>
      </c>
      <c r="E18" s="11">
        <f t="shared" si="0"/>
        <v>1.2440827008381814E-2</v>
      </c>
    </row>
    <row r="19" spans="1:5" x14ac:dyDescent="0.35">
      <c r="A19" s="11">
        <v>2014</v>
      </c>
      <c r="B19" s="11">
        <v>0</v>
      </c>
      <c r="C19" s="11" t="s">
        <v>50</v>
      </c>
      <c r="D19" s="11">
        <v>62158.5</v>
      </c>
      <c r="E19" s="11">
        <f t="shared" si="0"/>
        <v>0</v>
      </c>
    </row>
    <row r="20" spans="1:5" x14ac:dyDescent="0.35">
      <c r="A20" s="11">
        <v>2014</v>
      </c>
      <c r="B20" s="11">
        <v>0</v>
      </c>
      <c r="C20" s="11" t="s">
        <v>24</v>
      </c>
      <c r="D20" s="11">
        <v>9862842</v>
      </c>
      <c r="E20" s="11">
        <f t="shared" si="0"/>
        <v>0</v>
      </c>
    </row>
    <row r="21" spans="1:5" x14ac:dyDescent="0.35">
      <c r="A21" s="11">
        <v>2014</v>
      </c>
      <c r="B21" s="11">
        <v>5694</v>
      </c>
      <c r="C21" s="11" t="s">
        <v>33</v>
      </c>
      <c r="D21" s="11">
        <v>327512.5</v>
      </c>
      <c r="E21" s="11">
        <f t="shared" si="0"/>
        <v>1.7385595969619479E-2</v>
      </c>
    </row>
    <row r="22" spans="1:5" x14ac:dyDescent="0.35">
      <c r="A22" s="11">
        <v>2014</v>
      </c>
      <c r="B22" s="11">
        <v>43739</v>
      </c>
      <c r="C22" s="11" t="s">
        <v>10</v>
      </c>
      <c r="D22" s="11">
        <v>4658238.5</v>
      </c>
      <c r="E22" s="11">
        <f t="shared" si="0"/>
        <v>9.3896008115514056E-3</v>
      </c>
    </row>
    <row r="23" spans="1:5" x14ac:dyDescent="0.35">
      <c r="A23" s="11">
        <v>2014</v>
      </c>
      <c r="B23" s="11">
        <v>0</v>
      </c>
      <c r="C23" s="11" t="s">
        <v>48</v>
      </c>
      <c r="D23" s="11">
        <v>83892.5</v>
      </c>
      <c r="E23" s="11">
        <f t="shared" si="0"/>
        <v>0</v>
      </c>
    </row>
    <row r="24" spans="1:5" x14ac:dyDescent="0.35">
      <c r="A24" s="11">
        <v>2014</v>
      </c>
      <c r="B24" s="11">
        <v>447320</v>
      </c>
      <c r="C24" s="11" t="s">
        <v>11</v>
      </c>
      <c r="D24" s="11">
        <v>60664171.5</v>
      </c>
      <c r="E24" s="11">
        <f t="shared" si="0"/>
        <v>7.3737098676110663E-3</v>
      </c>
    </row>
    <row r="25" spans="1:5" x14ac:dyDescent="0.35">
      <c r="A25" s="11">
        <v>2014</v>
      </c>
      <c r="B25" s="11">
        <v>0</v>
      </c>
      <c r="C25" s="11" t="s">
        <v>49</v>
      </c>
      <c r="D25" s="11">
        <v>100568</v>
      </c>
      <c r="E25" s="11">
        <f t="shared" si="0"/>
        <v>0</v>
      </c>
    </row>
    <row r="26" spans="1:5" x14ac:dyDescent="0.35">
      <c r="A26" s="11">
        <v>2014</v>
      </c>
      <c r="B26" s="11">
        <v>0</v>
      </c>
      <c r="C26" s="11" t="s">
        <v>53</v>
      </c>
      <c r="D26" s="11">
        <v>1808980.5</v>
      </c>
      <c r="E26" s="11">
        <f t="shared" si="0"/>
        <v>0</v>
      </c>
    </row>
    <row r="27" spans="1:5" x14ac:dyDescent="0.35">
      <c r="A27" s="11">
        <v>2014</v>
      </c>
      <c r="B27" s="11">
        <v>0</v>
      </c>
      <c r="C27" s="11" t="s">
        <v>76</v>
      </c>
      <c r="D27" s="11">
        <v>1994149</v>
      </c>
      <c r="E27" s="11">
        <f t="shared" si="0"/>
        <v>0</v>
      </c>
    </row>
    <row r="28" spans="1:5" x14ac:dyDescent="0.35">
      <c r="A28" s="11">
        <v>2014</v>
      </c>
      <c r="B28" s="11">
        <v>0</v>
      </c>
      <c r="C28" s="11" t="s">
        <v>34</v>
      </c>
      <c r="D28" s="11">
        <v>37162.5</v>
      </c>
      <c r="E28" s="11">
        <f t="shared" si="0"/>
        <v>0</v>
      </c>
    </row>
    <row r="29" spans="1:5" x14ac:dyDescent="0.35">
      <c r="A29" s="11">
        <v>2014</v>
      </c>
      <c r="B29" s="11">
        <v>0</v>
      </c>
      <c r="C29" s="11" t="s">
        <v>25</v>
      </c>
      <c r="D29" s="11">
        <v>2933168</v>
      </c>
      <c r="E29" s="11">
        <f t="shared" si="0"/>
        <v>0</v>
      </c>
    </row>
    <row r="30" spans="1:5" x14ac:dyDescent="0.35">
      <c r="A30" s="11">
        <v>2014</v>
      </c>
      <c r="B30" s="11">
        <v>52669</v>
      </c>
      <c r="C30" s="11" t="s">
        <v>12</v>
      </c>
      <c r="D30" s="11">
        <v>556279</v>
      </c>
      <c r="E30" s="11">
        <f t="shared" si="0"/>
        <v>9.4680906523525066E-2</v>
      </c>
    </row>
    <row r="31" spans="1:5" x14ac:dyDescent="0.35">
      <c r="A31" s="11">
        <v>2014</v>
      </c>
      <c r="B31" s="11">
        <v>0</v>
      </c>
      <c r="C31" s="11" t="s">
        <v>26</v>
      </c>
      <c r="D31" s="11">
        <v>434484.5</v>
      </c>
      <c r="E31" s="11">
        <f t="shared" si="0"/>
        <v>0</v>
      </c>
    </row>
    <row r="32" spans="1:5" x14ac:dyDescent="0.35">
      <c r="A32" s="11">
        <v>2014</v>
      </c>
      <c r="B32" s="11">
        <v>0</v>
      </c>
      <c r="C32" s="11" t="s">
        <v>35</v>
      </c>
      <c r="D32" s="13">
        <v>3342709</v>
      </c>
      <c r="E32" s="11">
        <f t="shared" si="0"/>
        <v>0</v>
      </c>
    </row>
    <row r="33" spans="1:5" x14ac:dyDescent="0.35">
      <c r="A33" s="11">
        <v>2014</v>
      </c>
      <c r="B33" s="11">
        <v>0</v>
      </c>
      <c r="C33" s="11" t="s">
        <v>36</v>
      </c>
      <c r="D33" s="11">
        <v>36128</v>
      </c>
      <c r="E33" s="11">
        <f t="shared" si="0"/>
        <v>0</v>
      </c>
    </row>
    <row r="34" spans="1:5" x14ac:dyDescent="0.35">
      <c r="A34" s="11">
        <v>2014</v>
      </c>
      <c r="B34" s="11">
        <v>0</v>
      </c>
      <c r="C34" s="11" t="s">
        <v>37</v>
      </c>
      <c r="D34" s="11">
        <v>631375.5</v>
      </c>
      <c r="E34" s="11">
        <f t="shared" ref="E34:E65" si="1">B34/D34</f>
        <v>0</v>
      </c>
    </row>
    <row r="35" spans="1:5" x14ac:dyDescent="0.35">
      <c r="A35" s="11">
        <v>2014</v>
      </c>
      <c r="B35" s="11">
        <v>5426312</v>
      </c>
      <c r="C35" s="11" t="s">
        <v>52</v>
      </c>
      <c r="D35" s="11">
        <v>17030088.5</v>
      </c>
      <c r="E35" s="11">
        <f t="shared" si="1"/>
        <v>0.3186308749951593</v>
      </c>
    </row>
    <row r="36" spans="1:5" x14ac:dyDescent="0.35">
      <c r="A36" s="11">
        <v>2014</v>
      </c>
      <c r="B36" s="11">
        <v>0</v>
      </c>
      <c r="C36" s="11" t="s">
        <v>38</v>
      </c>
      <c r="D36" s="11">
        <v>1997833.5</v>
      </c>
      <c r="E36" s="11">
        <f t="shared" si="1"/>
        <v>0</v>
      </c>
    </row>
    <row r="37" spans="1:5" x14ac:dyDescent="0.35">
      <c r="A37" s="11">
        <v>2014</v>
      </c>
      <c r="B37" s="11">
        <v>240020</v>
      </c>
      <c r="C37" s="11" t="s">
        <v>39</v>
      </c>
      <c r="D37" s="11">
        <v>5137395</v>
      </c>
      <c r="E37" s="11">
        <f t="shared" si="1"/>
        <v>4.6720176276108805E-2</v>
      </c>
    </row>
    <row r="38" spans="1:5" x14ac:dyDescent="0.35">
      <c r="A38" s="11">
        <v>2014</v>
      </c>
      <c r="B38" s="11">
        <v>186145</v>
      </c>
      <c r="C38" s="11" t="s">
        <v>13</v>
      </c>
      <c r="D38" s="11">
        <v>38265113</v>
      </c>
      <c r="E38" s="11">
        <f t="shared" si="1"/>
        <v>4.8646138847153022E-3</v>
      </c>
    </row>
    <row r="39" spans="1:5" x14ac:dyDescent="0.35">
      <c r="A39" s="11">
        <v>2014</v>
      </c>
      <c r="B39" s="11">
        <v>1091293</v>
      </c>
      <c r="C39" s="11" t="s">
        <v>14</v>
      </c>
      <c r="D39" s="11">
        <v>10406198.5</v>
      </c>
      <c r="E39" s="11">
        <f t="shared" si="1"/>
        <v>0.10486951599087793</v>
      </c>
    </row>
    <row r="40" spans="1:5" x14ac:dyDescent="0.35">
      <c r="A40" s="11">
        <v>2014</v>
      </c>
      <c r="B40" s="11">
        <v>6200</v>
      </c>
      <c r="C40" s="11" t="s">
        <v>40</v>
      </c>
      <c r="D40" s="11">
        <v>7227202.5</v>
      </c>
      <c r="E40" s="11">
        <f t="shared" si="1"/>
        <v>8.5786997112644904E-4</v>
      </c>
    </row>
    <row r="41" spans="1:5" x14ac:dyDescent="0.35">
      <c r="A41" s="11">
        <v>2014</v>
      </c>
      <c r="B41" s="11">
        <v>0</v>
      </c>
      <c r="C41" s="11" t="s">
        <v>20</v>
      </c>
      <c r="D41" s="11">
        <v>19968174</v>
      </c>
      <c r="E41" s="11">
        <f t="shared" si="1"/>
        <v>0</v>
      </c>
    </row>
    <row r="42" spans="1:5" x14ac:dyDescent="0.35">
      <c r="A42" s="11">
        <v>2014</v>
      </c>
      <c r="B42" s="11">
        <v>2169548</v>
      </c>
      <c r="C42" s="11" t="s">
        <v>41</v>
      </c>
      <c r="D42" s="11">
        <v>144925638</v>
      </c>
      <c r="E42" s="11">
        <f t="shared" si="1"/>
        <v>1.4970077275078134E-2</v>
      </c>
    </row>
    <row r="43" spans="1:5" x14ac:dyDescent="0.35">
      <c r="A43" s="11">
        <v>2014</v>
      </c>
      <c r="B43" s="11">
        <v>0</v>
      </c>
      <c r="C43" s="11" t="s">
        <v>42</v>
      </c>
      <c r="D43" s="11">
        <v>33725.5</v>
      </c>
      <c r="E43" s="11">
        <f t="shared" si="1"/>
        <v>0</v>
      </c>
    </row>
    <row r="44" spans="1:5" x14ac:dyDescent="0.35">
      <c r="A44" s="11">
        <v>2014</v>
      </c>
      <c r="B44" s="11">
        <v>2866</v>
      </c>
      <c r="C44" s="11" t="s">
        <v>15</v>
      </c>
      <c r="D44" s="11">
        <v>5415230.5</v>
      </c>
      <c r="E44" s="11">
        <f t="shared" si="1"/>
        <v>5.2924801631250968E-4</v>
      </c>
    </row>
    <row r="45" spans="1:5" x14ac:dyDescent="0.35">
      <c r="A45" s="11">
        <v>2014</v>
      </c>
      <c r="B45" s="11">
        <v>3193</v>
      </c>
      <c r="C45" s="11" t="s">
        <v>16</v>
      </c>
      <c r="D45" s="11">
        <v>2058400.5</v>
      </c>
      <c r="E45" s="11">
        <f t="shared" si="1"/>
        <v>1.5512044424785168E-3</v>
      </c>
    </row>
    <row r="46" spans="1:5" x14ac:dyDescent="0.35">
      <c r="A46" s="11">
        <v>2014</v>
      </c>
      <c r="B46" s="11">
        <v>158691</v>
      </c>
      <c r="C46" s="11" t="s">
        <v>17</v>
      </c>
      <c r="D46" s="11">
        <v>46720187.5</v>
      </c>
      <c r="E46" s="11">
        <f t="shared" si="1"/>
        <v>3.3966259232157403E-3</v>
      </c>
    </row>
    <row r="47" spans="1:5" x14ac:dyDescent="0.35">
      <c r="A47" s="11">
        <v>2014</v>
      </c>
      <c r="B47" s="11">
        <v>35000</v>
      </c>
      <c r="C47" s="11" t="s">
        <v>18</v>
      </c>
      <c r="D47" s="11">
        <v>9696433.5</v>
      </c>
      <c r="E47" s="11">
        <f t="shared" si="1"/>
        <v>3.6095745925550874E-3</v>
      </c>
    </row>
    <row r="48" spans="1:5" x14ac:dyDescent="0.35">
      <c r="A48" s="11">
        <v>2014</v>
      </c>
      <c r="B48" s="11">
        <v>295667</v>
      </c>
      <c r="C48" s="11" t="s">
        <v>43</v>
      </c>
      <c r="D48" s="13">
        <v>8190235.5</v>
      </c>
      <c r="E48" s="11">
        <f t="shared" si="1"/>
        <v>3.6099938762444619E-2</v>
      </c>
    </row>
    <row r="49" spans="1:7" x14ac:dyDescent="0.35">
      <c r="A49" s="11">
        <v>2014</v>
      </c>
      <c r="B49" s="11">
        <v>277632</v>
      </c>
      <c r="C49" s="11" t="s">
        <v>44</v>
      </c>
      <c r="D49" s="11">
        <v>45972380.5</v>
      </c>
      <c r="E49" s="11">
        <f t="shared" si="1"/>
        <v>6.039104283494739E-3</v>
      </c>
    </row>
    <row r="50" spans="1:7" x14ac:dyDescent="0.35">
      <c r="A50" s="11">
        <v>2014</v>
      </c>
      <c r="B50" s="11">
        <v>7304384</v>
      </c>
      <c r="C50" s="11" t="s">
        <v>51</v>
      </c>
      <c r="D50" s="11">
        <v>64865916.5</v>
      </c>
      <c r="E50" s="11">
        <f t="shared" si="1"/>
        <v>0.11260742766195249</v>
      </c>
    </row>
    <row r="51" spans="1:7" s="1" customFormat="1" x14ac:dyDescent="0.35">
      <c r="A51" s="11"/>
      <c r="B51" s="11">
        <f>SUM(B2:B50)</f>
        <v>38419892</v>
      </c>
      <c r="C51" s="11" t="s">
        <v>57</v>
      </c>
      <c r="D51" s="11">
        <f>SUM(D2:D50)</f>
        <v>742640058.5</v>
      </c>
      <c r="E51" s="11">
        <f t="shared" si="1"/>
        <v>5.1734203616219283E-2</v>
      </c>
      <c r="F51" s="7"/>
      <c r="G51" s="7"/>
    </row>
    <row r="52" spans="1:7" s="1" customFormat="1" x14ac:dyDescent="0.35">
      <c r="A52" s="11"/>
      <c r="B52" s="11">
        <v>6664937</v>
      </c>
      <c r="C52" s="11" t="s">
        <v>56</v>
      </c>
      <c r="D52" s="11">
        <v>1387951972</v>
      </c>
      <c r="E52" s="11">
        <f t="shared" si="1"/>
        <v>4.8019939698605079E-3</v>
      </c>
      <c r="F52" s="7"/>
      <c r="G52" s="7"/>
    </row>
    <row r="54" spans="1:7" x14ac:dyDescent="0.35">
      <c r="B54" s="12">
        <v>52099573</v>
      </c>
      <c r="C54" s="11" t="s">
        <v>58</v>
      </c>
    </row>
    <row r="55" spans="1:7" x14ac:dyDescent="0.35">
      <c r="B55" s="12">
        <f>B51/B54*100</f>
        <v>73.743199392440317</v>
      </c>
      <c r="C55" s="11" t="s">
        <v>59</v>
      </c>
    </row>
    <row r="56" spans="1:7" x14ac:dyDescent="0.35">
      <c r="B56" s="12">
        <f>B52/B54*100</f>
        <v>12.79269025870903</v>
      </c>
      <c r="C56" s="11" t="s">
        <v>60</v>
      </c>
    </row>
  </sheetData>
  <sortState xmlns:xlrd2="http://schemas.microsoft.com/office/spreadsheetml/2017/richdata2" ref="A2:E50">
    <sortCondition ref="C2:C5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227DC-E53F-4152-8296-01A9577A5376}">
  <dimension ref="A1:F58"/>
  <sheetViews>
    <sheetView zoomScaleNormal="100" workbookViewId="0">
      <selection activeCell="A46" sqref="A1:F1048576"/>
    </sheetView>
  </sheetViews>
  <sheetFormatPr defaultRowHeight="15.5" x14ac:dyDescent="0.35"/>
  <cols>
    <col min="1" max="1" width="8.6640625" style="11"/>
    <col min="2" max="2" width="10.75" style="11" bestFit="1" customWidth="1"/>
    <col min="3" max="3" width="21.33203125" style="11" customWidth="1"/>
    <col min="4" max="4" width="11.1640625" style="11" customWidth="1"/>
    <col min="5" max="5" width="14.1640625" style="11" customWidth="1"/>
    <col min="6" max="6" width="8.6640625" style="12"/>
  </cols>
  <sheetData>
    <row r="1" spans="1:5" x14ac:dyDescent="0.35">
      <c r="A1" s="11" t="s">
        <v>21</v>
      </c>
      <c r="B1" s="11" t="s">
        <v>28</v>
      </c>
      <c r="C1" s="11" t="s">
        <v>22</v>
      </c>
      <c r="D1" s="11" t="s">
        <v>46</v>
      </c>
      <c r="E1" s="11" t="s">
        <v>47</v>
      </c>
    </row>
    <row r="2" spans="1:5" x14ac:dyDescent="0.35">
      <c r="A2" s="11">
        <v>2019</v>
      </c>
      <c r="B2" s="11">
        <v>0</v>
      </c>
      <c r="C2" s="11" t="s">
        <v>29</v>
      </c>
      <c r="D2" s="13">
        <v>2885009.5</v>
      </c>
      <c r="E2" s="11">
        <f t="shared" ref="E2:E33" si="0">B2/D2</f>
        <v>0</v>
      </c>
    </row>
    <row r="3" spans="1:5" x14ac:dyDescent="0.35">
      <c r="A3" s="11">
        <v>2019</v>
      </c>
      <c r="B3" s="11">
        <v>0</v>
      </c>
      <c r="C3" s="11" t="s">
        <v>30</v>
      </c>
      <c r="D3" s="11">
        <v>76473.5</v>
      </c>
      <c r="E3" s="11">
        <f t="shared" si="0"/>
        <v>0</v>
      </c>
    </row>
    <row r="4" spans="1:5" x14ac:dyDescent="0.35">
      <c r="A4" s="11">
        <v>2019</v>
      </c>
      <c r="B4" s="11">
        <v>340170</v>
      </c>
      <c r="C4" s="11" t="s">
        <v>0</v>
      </c>
      <c r="D4" s="11">
        <v>8880876</v>
      </c>
      <c r="E4" s="11">
        <f t="shared" si="0"/>
        <v>3.8303653828743921E-2</v>
      </c>
    </row>
    <row r="5" spans="1:5" x14ac:dyDescent="0.35">
      <c r="A5" s="11">
        <v>2019</v>
      </c>
      <c r="B5" s="11">
        <v>0</v>
      </c>
      <c r="C5" s="11" t="s">
        <v>31</v>
      </c>
      <c r="D5" s="11">
        <v>9435419.5</v>
      </c>
      <c r="E5" s="11">
        <f t="shared" si="0"/>
        <v>0</v>
      </c>
    </row>
    <row r="6" spans="1:5" x14ac:dyDescent="0.35">
      <c r="A6" s="11">
        <v>2019</v>
      </c>
      <c r="B6" s="11">
        <v>3076618.28</v>
      </c>
      <c r="C6" s="11" t="s">
        <v>1</v>
      </c>
      <c r="D6" s="11">
        <v>11490618</v>
      </c>
      <c r="E6" s="11">
        <f t="shared" si="0"/>
        <v>0.26775046215965059</v>
      </c>
    </row>
    <row r="7" spans="1:5" x14ac:dyDescent="0.35">
      <c r="A7" s="11">
        <v>2019</v>
      </c>
      <c r="B7" s="11">
        <v>2026</v>
      </c>
      <c r="C7" s="11" t="s">
        <v>32</v>
      </c>
      <c r="D7" s="11">
        <v>3345533</v>
      </c>
      <c r="E7" s="11">
        <f t="shared" si="0"/>
        <v>6.0558362449271907E-4</v>
      </c>
    </row>
    <row r="8" spans="1:5" x14ac:dyDescent="0.35">
      <c r="A8" s="11">
        <v>2019</v>
      </c>
      <c r="B8" s="11">
        <v>0</v>
      </c>
      <c r="C8" s="11" t="s">
        <v>19</v>
      </c>
      <c r="D8" s="11">
        <v>6975469</v>
      </c>
      <c r="E8" s="11">
        <f t="shared" si="0"/>
        <v>0</v>
      </c>
    </row>
    <row r="9" spans="1:5" x14ac:dyDescent="0.35">
      <c r="A9" s="11">
        <v>2019</v>
      </c>
      <c r="B9" s="11">
        <v>0</v>
      </c>
      <c r="C9" s="11" t="s">
        <v>23</v>
      </c>
      <c r="D9" s="11">
        <v>3986334.5</v>
      </c>
      <c r="E9" s="11">
        <f t="shared" si="0"/>
        <v>0</v>
      </c>
    </row>
    <row r="10" spans="1:5" x14ac:dyDescent="0.35">
      <c r="A10" s="11">
        <v>2019</v>
      </c>
      <c r="B10" s="11">
        <v>148604</v>
      </c>
      <c r="C10" s="11" t="s">
        <v>3</v>
      </c>
      <c r="D10" s="11">
        <v>10554875</v>
      </c>
      <c r="E10" s="11">
        <f t="shared" si="0"/>
        <v>1.4079181420907401E-2</v>
      </c>
    </row>
    <row r="11" spans="1:5" x14ac:dyDescent="0.35">
      <c r="A11" s="11">
        <v>2019</v>
      </c>
      <c r="B11" s="11">
        <v>582380</v>
      </c>
      <c r="C11" s="11" t="s">
        <v>4</v>
      </c>
      <c r="D11" s="11">
        <v>5814618.5</v>
      </c>
      <c r="E11" s="11">
        <f t="shared" si="0"/>
        <v>0.10015790373865456</v>
      </c>
    </row>
    <row r="12" spans="1:5" x14ac:dyDescent="0.35">
      <c r="A12" s="11">
        <v>2019</v>
      </c>
      <c r="B12" s="11">
        <v>96080.7</v>
      </c>
      <c r="C12" s="11" t="s">
        <v>5</v>
      </c>
      <c r="D12" s="11">
        <v>1326821.5</v>
      </c>
      <c r="E12" s="11">
        <f t="shared" si="0"/>
        <v>7.2414186836737268E-2</v>
      </c>
    </row>
    <row r="13" spans="1:5" x14ac:dyDescent="0.35">
      <c r="A13" s="11">
        <v>2019</v>
      </c>
      <c r="B13" s="11">
        <v>0</v>
      </c>
      <c r="C13" s="11" t="s">
        <v>55</v>
      </c>
      <c r="D13" s="11">
        <v>51841.5</v>
      </c>
      <c r="E13" s="11">
        <f t="shared" si="0"/>
        <v>0</v>
      </c>
    </row>
    <row r="14" spans="1:5" x14ac:dyDescent="0.35">
      <c r="A14" s="11">
        <v>2019</v>
      </c>
      <c r="B14" s="11">
        <v>4241.384</v>
      </c>
      <c r="C14" s="11" t="s">
        <v>6</v>
      </c>
      <c r="D14" s="11">
        <v>5521759</v>
      </c>
      <c r="E14" s="11">
        <f t="shared" si="0"/>
        <v>7.6812189738813307E-4</v>
      </c>
    </row>
    <row r="15" spans="1:5" x14ac:dyDescent="0.35">
      <c r="A15" s="11">
        <v>2019</v>
      </c>
      <c r="B15" s="11">
        <v>3223336</v>
      </c>
      <c r="C15" s="11" t="s">
        <v>7</v>
      </c>
      <c r="D15" s="11">
        <v>65729459</v>
      </c>
      <c r="E15" s="11">
        <f t="shared" si="0"/>
        <v>4.9039442116814012E-2</v>
      </c>
    </row>
    <row r="16" spans="1:5" x14ac:dyDescent="0.35">
      <c r="A16" s="11">
        <v>2019</v>
      </c>
      <c r="B16" s="11">
        <v>6615612.1689999998</v>
      </c>
      <c r="C16" s="11" t="s">
        <v>8</v>
      </c>
      <c r="D16" s="11">
        <v>83559186.5</v>
      </c>
      <c r="E16" s="11">
        <f t="shared" si="0"/>
        <v>7.9172768980942623E-2</v>
      </c>
    </row>
    <row r="17" spans="1:5" x14ac:dyDescent="0.35">
      <c r="A17" s="11">
        <v>2019</v>
      </c>
      <c r="B17" s="11">
        <v>0</v>
      </c>
      <c r="C17" s="11" t="s">
        <v>54</v>
      </c>
      <c r="D17" s="11">
        <v>35494</v>
      </c>
      <c r="E17" s="11">
        <f t="shared" si="0"/>
        <v>0</v>
      </c>
    </row>
    <row r="18" spans="1:5" x14ac:dyDescent="0.35">
      <c r="A18" s="11">
        <v>2019</v>
      </c>
      <c r="B18" s="11">
        <v>434109</v>
      </c>
      <c r="C18" s="11" t="s">
        <v>9</v>
      </c>
      <c r="D18" s="11">
        <v>10718575.5</v>
      </c>
      <c r="E18" s="11">
        <f t="shared" si="0"/>
        <v>4.0500624360018736E-2</v>
      </c>
    </row>
    <row r="19" spans="1:5" x14ac:dyDescent="0.35">
      <c r="A19" s="11">
        <v>2019</v>
      </c>
      <c r="B19" s="11">
        <v>0</v>
      </c>
      <c r="C19" s="11" t="s">
        <v>50</v>
      </c>
      <c r="D19" s="11">
        <v>62783.5</v>
      </c>
      <c r="E19" s="11">
        <f t="shared" si="0"/>
        <v>0</v>
      </c>
    </row>
    <row r="20" spans="1:5" x14ac:dyDescent="0.35">
      <c r="A20" s="11">
        <v>2019</v>
      </c>
      <c r="B20" s="11">
        <v>0</v>
      </c>
      <c r="C20" s="11" t="s">
        <v>24</v>
      </c>
      <c r="D20" s="11">
        <v>9770346.5</v>
      </c>
      <c r="E20" s="11">
        <f t="shared" si="0"/>
        <v>0</v>
      </c>
    </row>
    <row r="21" spans="1:5" x14ac:dyDescent="0.35">
      <c r="A21" s="11">
        <v>2019</v>
      </c>
      <c r="B21" s="11">
        <v>11637</v>
      </c>
      <c r="C21" s="11" t="s">
        <v>33</v>
      </c>
      <c r="D21" s="11">
        <v>360699.5</v>
      </c>
      <c r="E21" s="11">
        <f t="shared" si="0"/>
        <v>3.2262312534394974E-2</v>
      </c>
    </row>
    <row r="22" spans="1:5" x14ac:dyDescent="0.35">
      <c r="A22" s="11">
        <v>2019</v>
      </c>
      <c r="B22" s="11">
        <v>25048</v>
      </c>
      <c r="C22" s="11" t="s">
        <v>10</v>
      </c>
      <c r="D22" s="11">
        <v>4933491</v>
      </c>
      <c r="E22" s="11">
        <f t="shared" si="0"/>
        <v>5.0771350348059819E-3</v>
      </c>
    </row>
    <row r="23" spans="1:5" x14ac:dyDescent="0.35">
      <c r="A23" s="11">
        <v>2019</v>
      </c>
      <c r="B23" s="11">
        <v>0</v>
      </c>
      <c r="C23" s="11" t="s">
        <v>48</v>
      </c>
      <c r="D23" s="11">
        <v>83956.5</v>
      </c>
      <c r="E23" s="11">
        <f t="shared" si="0"/>
        <v>0</v>
      </c>
    </row>
    <row r="24" spans="1:5" x14ac:dyDescent="0.35">
      <c r="A24" s="11">
        <v>2019</v>
      </c>
      <c r="B24" s="11">
        <v>26593</v>
      </c>
      <c r="C24" s="11" t="s">
        <v>11</v>
      </c>
      <c r="D24" s="11">
        <v>60130136</v>
      </c>
      <c r="E24" s="11">
        <f t="shared" si="0"/>
        <v>4.4225743976364861E-4</v>
      </c>
    </row>
    <row r="25" spans="1:5" x14ac:dyDescent="0.35">
      <c r="A25" s="11">
        <v>2019</v>
      </c>
      <c r="B25" s="11">
        <v>0</v>
      </c>
      <c r="C25" s="11" t="s">
        <v>49</v>
      </c>
      <c r="D25" s="11">
        <v>102856.5</v>
      </c>
      <c r="E25" s="11">
        <f t="shared" si="0"/>
        <v>0</v>
      </c>
    </row>
    <row r="26" spans="1:5" x14ac:dyDescent="0.35">
      <c r="A26" s="11">
        <v>2019</v>
      </c>
      <c r="B26" s="11">
        <v>0</v>
      </c>
      <c r="C26" s="11" t="s">
        <v>53</v>
      </c>
      <c r="D26" s="11">
        <v>1755042</v>
      </c>
      <c r="E26" s="11">
        <f t="shared" si="0"/>
        <v>0</v>
      </c>
    </row>
    <row r="27" spans="1:5" x14ac:dyDescent="0.35">
      <c r="A27" s="11">
        <v>2019</v>
      </c>
      <c r="B27" s="11">
        <v>0</v>
      </c>
      <c r="C27" s="11" t="s">
        <v>76</v>
      </c>
      <c r="D27" s="11">
        <v>1914263</v>
      </c>
      <c r="E27" s="11">
        <f t="shared" si="0"/>
        <v>0</v>
      </c>
    </row>
    <row r="28" spans="1:5" x14ac:dyDescent="0.35">
      <c r="A28" s="11">
        <v>2019</v>
      </c>
      <c r="B28" s="11">
        <v>0</v>
      </c>
      <c r="C28" s="11" t="s">
        <v>34</v>
      </c>
      <c r="D28" s="11">
        <v>38440</v>
      </c>
      <c r="E28" s="11">
        <f t="shared" si="0"/>
        <v>0</v>
      </c>
    </row>
    <row r="29" spans="1:5" x14ac:dyDescent="0.35">
      <c r="A29" s="11">
        <v>2019</v>
      </c>
      <c r="B29" s="11">
        <v>31970</v>
      </c>
      <c r="C29" s="11" t="s">
        <v>25</v>
      </c>
      <c r="D29" s="11">
        <v>2795058</v>
      </c>
      <c r="E29" s="11">
        <f t="shared" si="0"/>
        <v>1.1438045292798934E-2</v>
      </c>
    </row>
    <row r="30" spans="1:5" x14ac:dyDescent="0.35">
      <c r="A30" s="11">
        <v>2019</v>
      </c>
      <c r="B30" s="11">
        <v>162885</v>
      </c>
      <c r="C30" s="11" t="s">
        <v>12</v>
      </c>
      <c r="D30" s="11">
        <v>620163</v>
      </c>
      <c r="E30" s="11">
        <f t="shared" si="0"/>
        <v>0.26264869074743252</v>
      </c>
    </row>
    <row r="31" spans="1:5" x14ac:dyDescent="0.35">
      <c r="A31" s="11">
        <v>2019</v>
      </c>
      <c r="B31" s="11">
        <v>0</v>
      </c>
      <c r="C31" s="11" t="s">
        <v>26</v>
      </c>
      <c r="D31" s="11">
        <v>504015.5</v>
      </c>
      <c r="E31" s="11">
        <f t="shared" si="0"/>
        <v>0</v>
      </c>
    </row>
    <row r="32" spans="1:5" x14ac:dyDescent="0.35">
      <c r="A32" s="11">
        <v>2019</v>
      </c>
      <c r="B32" s="11">
        <v>16576</v>
      </c>
      <c r="C32" s="11" t="s">
        <v>35</v>
      </c>
      <c r="D32" s="11">
        <v>3112562</v>
      </c>
      <c r="E32" s="11">
        <f t="shared" si="0"/>
        <v>5.3255164073840134E-3</v>
      </c>
    </row>
    <row r="33" spans="1:5" x14ac:dyDescent="0.35">
      <c r="A33" s="11">
        <v>2019</v>
      </c>
      <c r="B33" s="11">
        <v>0</v>
      </c>
      <c r="C33" s="11" t="s">
        <v>36</v>
      </c>
      <c r="D33" s="11">
        <v>38109</v>
      </c>
      <c r="E33" s="11">
        <f t="shared" si="0"/>
        <v>0</v>
      </c>
    </row>
    <row r="34" spans="1:5" x14ac:dyDescent="0.35">
      <c r="A34" s="11">
        <v>2019</v>
      </c>
      <c r="B34" s="11">
        <v>12652.5</v>
      </c>
      <c r="C34" s="11" t="s">
        <v>37</v>
      </c>
      <c r="D34" s="11">
        <v>611666.5</v>
      </c>
      <c r="E34" s="11">
        <f t="shared" ref="E34:E65" si="1">B34/D34</f>
        <v>2.068529173986151E-2</v>
      </c>
    </row>
    <row r="35" spans="1:5" x14ac:dyDescent="0.35">
      <c r="A35" s="11">
        <v>2019</v>
      </c>
      <c r="B35" s="11">
        <v>7128438</v>
      </c>
      <c r="C35" s="11" t="s">
        <v>52</v>
      </c>
      <c r="D35" s="11">
        <v>17537507</v>
      </c>
      <c r="E35" s="11">
        <f t="shared" si="1"/>
        <v>0.40646814852304836</v>
      </c>
    </row>
    <row r="36" spans="1:5" x14ac:dyDescent="0.35">
      <c r="A36" s="11">
        <v>2019</v>
      </c>
      <c r="B36" s="11">
        <v>0</v>
      </c>
      <c r="C36" s="11" t="s">
        <v>38</v>
      </c>
      <c r="D36" s="11">
        <v>1897641</v>
      </c>
      <c r="E36" s="11">
        <f t="shared" si="1"/>
        <v>0</v>
      </c>
    </row>
    <row r="37" spans="1:5" x14ac:dyDescent="0.35">
      <c r="A37" s="11">
        <v>2019</v>
      </c>
      <c r="B37" s="11">
        <v>167518</v>
      </c>
      <c r="C37" s="11" t="s">
        <v>39</v>
      </c>
      <c r="D37" s="11">
        <v>5347730.5</v>
      </c>
      <c r="E37" s="11">
        <f t="shared" si="1"/>
        <v>3.1325063968724677E-2</v>
      </c>
    </row>
    <row r="38" spans="1:5" x14ac:dyDescent="0.35">
      <c r="A38" s="11">
        <v>2019</v>
      </c>
      <c r="B38" s="11">
        <v>218475</v>
      </c>
      <c r="C38" s="11" t="s">
        <v>13</v>
      </c>
      <c r="D38" s="11">
        <v>38225884.5</v>
      </c>
      <c r="E38" s="11">
        <f t="shared" si="1"/>
        <v>5.7153680773560644E-3</v>
      </c>
    </row>
    <row r="39" spans="1:5" x14ac:dyDescent="0.35">
      <c r="A39" s="11">
        <v>2019</v>
      </c>
      <c r="B39" s="11">
        <v>1435175</v>
      </c>
      <c r="C39" s="11" t="s">
        <v>14</v>
      </c>
      <c r="D39" s="11">
        <v>10343213</v>
      </c>
      <c r="E39" s="11">
        <f t="shared" si="1"/>
        <v>0.13875523978864207</v>
      </c>
    </row>
    <row r="40" spans="1:5" x14ac:dyDescent="0.35">
      <c r="A40" s="11">
        <v>2019</v>
      </c>
      <c r="B40" s="11">
        <v>12127</v>
      </c>
      <c r="C40" s="11" t="s">
        <v>40</v>
      </c>
      <c r="D40" s="11">
        <v>6966152.5</v>
      </c>
      <c r="E40" s="11">
        <f t="shared" si="1"/>
        <v>1.7408461844612216E-3</v>
      </c>
    </row>
    <row r="41" spans="1:5" x14ac:dyDescent="0.35">
      <c r="A41" s="11">
        <v>2019</v>
      </c>
      <c r="B41" s="11">
        <v>80340</v>
      </c>
      <c r="C41" s="11" t="s">
        <v>20</v>
      </c>
      <c r="D41" s="11">
        <v>19501542</v>
      </c>
      <c r="E41" s="11">
        <f t="shared" si="1"/>
        <v>4.1196742288379046E-3</v>
      </c>
    </row>
    <row r="42" spans="1:5" x14ac:dyDescent="0.35">
      <c r="A42" s="11">
        <v>2019</v>
      </c>
      <c r="B42" s="11">
        <v>1393984.5</v>
      </c>
      <c r="C42" s="11" t="s">
        <v>41</v>
      </c>
      <c r="D42" s="11">
        <v>146533067</v>
      </c>
      <c r="E42" s="11">
        <f t="shared" si="1"/>
        <v>9.5131053252301059E-3</v>
      </c>
    </row>
    <row r="43" spans="1:5" x14ac:dyDescent="0.35">
      <c r="A43" s="11">
        <v>2019</v>
      </c>
      <c r="B43" s="11">
        <v>0</v>
      </c>
      <c r="C43" s="11" t="s">
        <v>42</v>
      </c>
      <c r="D43" s="11">
        <v>34653</v>
      </c>
      <c r="E43" s="11">
        <f t="shared" si="1"/>
        <v>0</v>
      </c>
    </row>
    <row r="44" spans="1:5" x14ac:dyDescent="0.35">
      <c r="A44" s="11">
        <v>2019</v>
      </c>
      <c r="B44" s="11">
        <v>10155</v>
      </c>
      <c r="C44" s="11" t="s">
        <v>15</v>
      </c>
      <c r="D44" s="11">
        <v>5450625.5</v>
      </c>
      <c r="E44" s="11">
        <f t="shared" si="1"/>
        <v>1.8630889243812477E-3</v>
      </c>
    </row>
    <row r="45" spans="1:5" x14ac:dyDescent="0.35">
      <c r="A45" s="11">
        <v>2019</v>
      </c>
      <c r="B45" s="11">
        <v>2646.8500000000004</v>
      </c>
      <c r="C45" s="11" t="s">
        <v>16</v>
      </c>
      <c r="D45" s="11">
        <v>2083439.5</v>
      </c>
      <c r="E45" s="11">
        <f t="shared" si="1"/>
        <v>1.2704232592307097E-3</v>
      </c>
    </row>
    <row r="46" spans="1:5" x14ac:dyDescent="0.35">
      <c r="A46" s="11">
        <v>2019</v>
      </c>
      <c r="B46" s="11">
        <v>309833.8</v>
      </c>
      <c r="C46" s="11" t="s">
        <v>17</v>
      </c>
      <c r="D46" s="11">
        <v>47435119</v>
      </c>
      <c r="E46" s="11">
        <f t="shared" si="1"/>
        <v>6.5317386470559926E-3</v>
      </c>
    </row>
    <row r="47" spans="1:5" x14ac:dyDescent="0.35">
      <c r="A47" s="11">
        <v>2019</v>
      </c>
      <c r="B47" s="11">
        <v>961.90800000000002</v>
      </c>
      <c r="C47" s="11" t="s">
        <v>18</v>
      </c>
      <c r="D47" s="11">
        <v>10279125</v>
      </c>
      <c r="E47" s="11">
        <f t="shared" si="1"/>
        <v>9.3578782240706282E-5</v>
      </c>
    </row>
    <row r="48" spans="1:5" x14ac:dyDescent="0.35">
      <c r="A48" s="11">
        <v>2019</v>
      </c>
      <c r="B48" s="11">
        <v>267172</v>
      </c>
      <c r="C48" s="11" t="s">
        <v>43</v>
      </c>
      <c r="D48" s="11">
        <v>8577524</v>
      </c>
      <c r="E48" s="11">
        <f t="shared" si="1"/>
        <v>3.1147916345089795E-2</v>
      </c>
    </row>
    <row r="49" spans="1:5" x14ac:dyDescent="0.35">
      <c r="A49" s="11">
        <v>2019</v>
      </c>
      <c r="B49" s="11">
        <v>276320</v>
      </c>
      <c r="C49" s="11" t="s">
        <v>44</v>
      </c>
      <c r="D49" s="11">
        <v>44957458</v>
      </c>
      <c r="E49" s="11">
        <f t="shared" si="1"/>
        <v>6.1462549773165552E-3</v>
      </c>
    </row>
    <row r="50" spans="1:5" x14ac:dyDescent="0.35">
      <c r="A50" s="11">
        <v>2019</v>
      </c>
      <c r="B50" s="11">
        <v>4775224</v>
      </c>
      <c r="C50" s="11" t="s">
        <v>51</v>
      </c>
      <c r="D50" s="11">
        <v>67110958</v>
      </c>
      <c r="E50" s="11">
        <f t="shared" si="1"/>
        <v>7.1154162335158436E-2</v>
      </c>
    </row>
    <row r="51" spans="1:5" x14ac:dyDescent="0.35">
      <c r="B51" s="11">
        <f>SUM(B2:B50)</f>
        <v>30888910.091000002</v>
      </c>
      <c r="C51" s="11" t="s">
        <v>57</v>
      </c>
      <c r="D51" s="11">
        <f>SUM(D2:D50)</f>
        <v>749503591.5</v>
      </c>
      <c r="E51" s="11">
        <f t="shared" si="1"/>
        <v>4.1212491095848208E-2</v>
      </c>
    </row>
    <row r="52" spans="1:5" x14ac:dyDescent="0.35">
      <c r="B52" s="12">
        <v>8478416</v>
      </c>
      <c r="C52" s="11" t="s">
        <v>56</v>
      </c>
      <c r="D52" s="12">
        <v>1423520357.5</v>
      </c>
      <c r="E52" s="11">
        <f t="shared" si="1"/>
        <v>5.9559499485415685E-3</v>
      </c>
    </row>
    <row r="56" spans="1:5" x14ac:dyDescent="0.35">
      <c r="B56" s="11">
        <v>43593801.600000001</v>
      </c>
      <c r="C56" s="11" t="s">
        <v>58</v>
      </c>
    </row>
    <row r="57" spans="1:5" x14ac:dyDescent="0.35">
      <c r="B57" s="11">
        <f>B51/B56*100</f>
        <v>70.85619734297272</v>
      </c>
      <c r="C57" s="11" t="s">
        <v>59</v>
      </c>
    </row>
    <row r="58" spans="1:5" x14ac:dyDescent="0.35">
      <c r="B58" s="11">
        <f>B52/B56*100</f>
        <v>19.448673180179814</v>
      </c>
      <c r="C58" s="11" t="s">
        <v>60</v>
      </c>
    </row>
  </sheetData>
  <sortState xmlns:xlrd2="http://schemas.microsoft.com/office/spreadsheetml/2017/richdata2" ref="A2:E50">
    <sortCondition ref="C2:C5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6C481-9891-440B-BDCD-8650CA159697}">
  <dimension ref="A1:I56"/>
  <sheetViews>
    <sheetView zoomScale="115" zoomScaleNormal="115" workbookViewId="0">
      <selection sqref="A1:I1048576"/>
    </sheetView>
  </sheetViews>
  <sheetFormatPr defaultRowHeight="15.5" x14ac:dyDescent="0.35"/>
  <cols>
    <col min="1" max="1" width="8.6640625" style="4"/>
    <col min="2" max="2" width="15.25" style="4" customWidth="1"/>
    <col min="3" max="3" width="19.83203125" style="4" customWidth="1"/>
    <col min="4" max="4" width="10.83203125" style="18" customWidth="1"/>
    <col min="5" max="5" width="8.6640625" style="18"/>
    <col min="6" max="9" width="8.6640625" style="4"/>
  </cols>
  <sheetData>
    <row r="1" spans="1:6" x14ac:dyDescent="0.35">
      <c r="A1" s="11" t="s">
        <v>45</v>
      </c>
      <c r="B1" s="11" t="s">
        <v>28</v>
      </c>
      <c r="C1" s="11" t="s">
        <v>22</v>
      </c>
      <c r="D1" s="11" t="s">
        <v>46</v>
      </c>
      <c r="E1" s="11" t="s">
        <v>47</v>
      </c>
      <c r="F1" s="12"/>
    </row>
    <row r="2" spans="1:6" x14ac:dyDescent="0.35">
      <c r="A2" s="11">
        <v>2024</v>
      </c>
      <c r="B2" s="11">
        <v>0</v>
      </c>
      <c r="C2" s="11" t="s">
        <v>29</v>
      </c>
      <c r="D2" s="11">
        <v>2791764.5</v>
      </c>
      <c r="E2" s="15">
        <f t="shared" ref="E2:E16" si="0">B2/D2</f>
        <v>0</v>
      </c>
      <c r="F2" s="12"/>
    </row>
    <row r="3" spans="1:6" x14ac:dyDescent="0.35">
      <c r="A3" s="11">
        <v>2024</v>
      </c>
      <c r="B3" s="11">
        <v>0</v>
      </c>
      <c r="C3" s="11" t="s">
        <v>30</v>
      </c>
      <c r="D3" s="11">
        <v>81937.5</v>
      </c>
      <c r="E3" s="15">
        <f t="shared" si="0"/>
        <v>0</v>
      </c>
      <c r="F3" s="12"/>
    </row>
    <row r="4" spans="1:6" x14ac:dyDescent="0.35">
      <c r="A4" s="11">
        <v>2024</v>
      </c>
      <c r="B4" s="11">
        <v>343444</v>
      </c>
      <c r="C4" s="11" t="s">
        <v>0</v>
      </c>
      <c r="D4" s="11">
        <v>9120813</v>
      </c>
      <c r="E4" s="15">
        <f t="shared" si="0"/>
        <v>3.765497659035439E-2</v>
      </c>
      <c r="F4" s="12"/>
    </row>
    <row r="5" spans="1:6" x14ac:dyDescent="0.35">
      <c r="A5" s="11">
        <v>2024</v>
      </c>
      <c r="B5" s="11">
        <v>0</v>
      </c>
      <c r="C5" s="11" t="s">
        <v>31</v>
      </c>
      <c r="D5" s="11">
        <v>9056696</v>
      </c>
      <c r="E5" s="15">
        <f t="shared" si="0"/>
        <v>0</v>
      </c>
      <c r="F5" s="12"/>
    </row>
    <row r="6" spans="1:6" x14ac:dyDescent="0.35">
      <c r="A6" s="11">
        <v>2024</v>
      </c>
      <c r="B6" s="11">
        <v>2656252.77</v>
      </c>
      <c r="C6" s="11" t="s">
        <v>1</v>
      </c>
      <c r="D6" s="11">
        <v>11738763.5</v>
      </c>
      <c r="E6" s="15">
        <f t="shared" si="0"/>
        <v>0.22628045705154551</v>
      </c>
      <c r="F6" s="12"/>
    </row>
    <row r="7" spans="1:6" x14ac:dyDescent="0.35">
      <c r="A7" s="11">
        <v>2024</v>
      </c>
      <c r="B7" s="11">
        <v>14571</v>
      </c>
      <c r="C7" s="11" t="s">
        <v>32</v>
      </c>
      <c r="D7" s="11">
        <v>3164253</v>
      </c>
      <c r="E7" s="15">
        <f t="shared" si="0"/>
        <v>4.604878307771218E-3</v>
      </c>
      <c r="F7" s="12"/>
    </row>
    <row r="8" spans="1:6" x14ac:dyDescent="0.35">
      <c r="A8" s="11">
        <v>2024</v>
      </c>
      <c r="B8" s="11">
        <v>2429</v>
      </c>
      <c r="C8" s="11" t="s">
        <v>19</v>
      </c>
      <c r="D8" s="11">
        <v>6757688.5</v>
      </c>
      <c r="E8" s="15">
        <f t="shared" si="0"/>
        <v>3.5944243360729045E-4</v>
      </c>
      <c r="F8" s="12"/>
    </row>
    <row r="9" spans="1:6" x14ac:dyDescent="0.35">
      <c r="A9" s="11">
        <v>2024</v>
      </c>
      <c r="B9" s="11">
        <v>0</v>
      </c>
      <c r="C9" s="11" t="s">
        <v>23</v>
      </c>
      <c r="D9" s="11">
        <v>3875325</v>
      </c>
      <c r="E9" s="15">
        <f t="shared" si="0"/>
        <v>0</v>
      </c>
      <c r="F9" s="12"/>
    </row>
    <row r="10" spans="1:6" x14ac:dyDescent="0.35">
      <c r="A10" s="11">
        <v>2024</v>
      </c>
      <c r="B10" s="11">
        <v>132242</v>
      </c>
      <c r="C10" s="11" t="s">
        <v>3</v>
      </c>
      <c r="D10" s="11">
        <v>10735859</v>
      </c>
      <c r="E10" s="15">
        <f t="shared" si="0"/>
        <v>1.2317784725004305E-2</v>
      </c>
      <c r="F10" s="12"/>
    </row>
    <row r="11" spans="1:6" x14ac:dyDescent="0.35">
      <c r="A11" s="11">
        <v>2024</v>
      </c>
      <c r="B11" s="11">
        <v>243519</v>
      </c>
      <c r="C11" s="11" t="s">
        <v>4</v>
      </c>
      <c r="D11" s="11">
        <v>5977412</v>
      </c>
      <c r="E11" s="15">
        <f t="shared" si="0"/>
        <v>4.0739872038266726E-2</v>
      </c>
      <c r="F11" s="12"/>
    </row>
    <row r="12" spans="1:6" x14ac:dyDescent="0.35">
      <c r="A12" s="11">
        <v>2024</v>
      </c>
      <c r="B12" s="11">
        <v>36751.599999999999</v>
      </c>
      <c r="C12" s="11" t="s">
        <v>5</v>
      </c>
      <c r="D12" s="11">
        <v>1360546</v>
      </c>
      <c r="E12" s="15">
        <f t="shared" si="0"/>
        <v>2.7012390613768294E-2</v>
      </c>
      <c r="F12" s="12"/>
    </row>
    <row r="13" spans="1:6" x14ac:dyDescent="0.35">
      <c r="A13" s="12"/>
      <c r="B13" s="11">
        <v>0</v>
      </c>
      <c r="C13" s="11" t="s">
        <v>55</v>
      </c>
      <c r="D13" s="11">
        <v>55399.5</v>
      </c>
      <c r="E13" s="15">
        <f t="shared" si="0"/>
        <v>0</v>
      </c>
      <c r="F13" s="12"/>
    </row>
    <row r="14" spans="1:6" x14ac:dyDescent="0.35">
      <c r="A14" s="11">
        <v>2024</v>
      </c>
      <c r="B14" s="11">
        <v>66277</v>
      </c>
      <c r="C14" s="11" t="s">
        <v>6</v>
      </c>
      <c r="D14" s="11">
        <v>5617310.5</v>
      </c>
      <c r="E14" s="15">
        <f t="shared" si="0"/>
        <v>1.1798706872265651E-2</v>
      </c>
      <c r="F14" s="12"/>
    </row>
    <row r="15" spans="1:6" x14ac:dyDescent="0.35">
      <c r="A15" s="11">
        <v>2024</v>
      </c>
      <c r="B15" s="11">
        <v>2028542</v>
      </c>
      <c r="C15" s="11" t="s">
        <v>7</v>
      </c>
      <c r="D15" s="11">
        <v>66548530.499999903</v>
      </c>
      <c r="E15" s="15">
        <f t="shared" si="0"/>
        <v>3.0482145657596497E-2</v>
      </c>
      <c r="F15" s="12"/>
    </row>
    <row r="16" spans="1:6" x14ac:dyDescent="0.35">
      <c r="A16" s="11">
        <v>2024</v>
      </c>
      <c r="B16" s="11">
        <v>4252573.2310000006</v>
      </c>
      <c r="C16" s="11" t="s">
        <v>8</v>
      </c>
      <c r="D16" s="13">
        <v>84552242</v>
      </c>
      <c r="E16" s="15">
        <f t="shared" si="0"/>
        <v>5.0295215483464065E-2</v>
      </c>
      <c r="F16" s="12"/>
    </row>
    <row r="17" spans="1:6" x14ac:dyDescent="0.35">
      <c r="A17" s="11">
        <v>2024</v>
      </c>
      <c r="B17" s="11">
        <v>0</v>
      </c>
      <c r="C17" s="11" t="s">
        <v>54</v>
      </c>
      <c r="D17" s="11">
        <v>39329</v>
      </c>
      <c r="E17" s="11"/>
      <c r="F17" s="12"/>
    </row>
    <row r="18" spans="1:6" x14ac:dyDescent="0.35">
      <c r="A18" s="11">
        <v>2024</v>
      </c>
      <c r="B18" s="11">
        <v>109700</v>
      </c>
      <c r="C18" s="11" t="s">
        <v>9</v>
      </c>
      <c r="D18" s="11">
        <v>10047816.5</v>
      </c>
      <c r="E18" s="15">
        <f>B18/D18</f>
        <v>1.0917794925892605E-2</v>
      </c>
      <c r="F18" s="12"/>
    </row>
    <row r="19" spans="1:6" x14ac:dyDescent="0.35">
      <c r="A19" s="11">
        <v>2024</v>
      </c>
      <c r="B19" s="11">
        <v>0</v>
      </c>
      <c r="C19" s="11" t="s">
        <v>50</v>
      </c>
      <c r="D19" s="11">
        <v>64280</v>
      </c>
      <c r="E19" s="11"/>
      <c r="F19" s="12"/>
    </row>
    <row r="20" spans="1:6" x14ac:dyDescent="0.35">
      <c r="A20" s="11">
        <v>2024</v>
      </c>
      <c r="B20" s="11">
        <v>0</v>
      </c>
      <c r="C20" s="11" t="s">
        <v>24</v>
      </c>
      <c r="D20" s="11">
        <v>9676134.5</v>
      </c>
      <c r="E20" s="15">
        <f>B20/D20</f>
        <v>0</v>
      </c>
      <c r="F20" s="12"/>
    </row>
    <row r="21" spans="1:6" x14ac:dyDescent="0.35">
      <c r="A21" s="11">
        <v>2024</v>
      </c>
      <c r="B21" s="11">
        <v>21778</v>
      </c>
      <c r="C21" s="11" t="s">
        <v>33</v>
      </c>
      <c r="D21" s="11">
        <v>393395.5</v>
      </c>
      <c r="E21" s="15">
        <f>B21/D21</f>
        <v>5.5359047065866286E-2</v>
      </c>
      <c r="F21" s="12"/>
    </row>
    <row r="22" spans="1:6" x14ac:dyDescent="0.35">
      <c r="A22" s="11">
        <v>2024</v>
      </c>
      <c r="B22" s="11">
        <v>89333</v>
      </c>
      <c r="C22" s="11" t="s">
        <v>10</v>
      </c>
      <c r="D22" s="11">
        <v>5255017.5</v>
      </c>
      <c r="E22" s="15">
        <f>B22/D22</f>
        <v>1.699956279879182E-2</v>
      </c>
      <c r="F22" s="12"/>
    </row>
    <row r="23" spans="1:6" x14ac:dyDescent="0.35">
      <c r="A23" s="11">
        <v>2024</v>
      </c>
      <c r="B23" s="11">
        <v>0</v>
      </c>
      <c r="C23" s="11" t="s">
        <v>48</v>
      </c>
      <c r="D23" s="11">
        <v>84160.5</v>
      </c>
      <c r="E23" s="11"/>
      <c r="F23" s="12"/>
    </row>
    <row r="24" spans="1:6" x14ac:dyDescent="0.35">
      <c r="A24" s="11">
        <v>2024</v>
      </c>
      <c r="B24" s="11">
        <v>14125</v>
      </c>
      <c r="C24" s="11" t="s">
        <v>11</v>
      </c>
      <c r="D24" s="11">
        <v>59342867</v>
      </c>
      <c r="E24" s="15">
        <f>B24/D24</f>
        <v>2.3802355218193282E-4</v>
      </c>
      <c r="F24" s="12"/>
    </row>
    <row r="25" spans="1:6" x14ac:dyDescent="0.35">
      <c r="A25" s="11">
        <v>2024</v>
      </c>
      <c r="B25" s="11">
        <v>0</v>
      </c>
      <c r="C25" s="11" t="s">
        <v>49</v>
      </c>
      <c r="D25" s="11">
        <v>103845.5</v>
      </c>
      <c r="E25" s="11"/>
      <c r="F25" s="12"/>
    </row>
    <row r="26" spans="1:6" x14ac:dyDescent="0.35">
      <c r="A26" s="11">
        <v>2024</v>
      </c>
      <c r="B26" s="11">
        <v>0</v>
      </c>
      <c r="C26" s="11" t="s">
        <v>53</v>
      </c>
      <c r="D26" s="11">
        <v>1684790</v>
      </c>
      <c r="E26" s="11"/>
      <c r="F26" s="12"/>
    </row>
    <row r="27" spans="1:6" x14ac:dyDescent="0.35">
      <c r="A27" s="11">
        <v>2024</v>
      </c>
      <c r="B27" s="11">
        <v>0</v>
      </c>
      <c r="C27" s="11" t="s">
        <v>76</v>
      </c>
      <c r="D27" s="11">
        <v>1871871.5</v>
      </c>
      <c r="E27" s="15">
        <f t="shared" ref="E27:E50" si="1">B27/D27</f>
        <v>0</v>
      </c>
      <c r="F27" s="12"/>
    </row>
    <row r="28" spans="1:6" x14ac:dyDescent="0.35">
      <c r="A28" s="11">
        <v>2024</v>
      </c>
      <c r="B28" s="11">
        <v>0</v>
      </c>
      <c r="C28" s="11" t="s">
        <v>34</v>
      </c>
      <c r="D28" s="11">
        <v>39870</v>
      </c>
      <c r="E28" s="15">
        <f t="shared" si="1"/>
        <v>0</v>
      </c>
      <c r="F28" s="12"/>
    </row>
    <row r="29" spans="1:6" x14ac:dyDescent="0.35">
      <c r="A29" s="11">
        <v>2024</v>
      </c>
      <c r="B29" s="11">
        <v>0</v>
      </c>
      <c r="C29" s="11" t="s">
        <v>25</v>
      </c>
      <c r="D29" s="11">
        <v>2859109.5</v>
      </c>
      <c r="E29" s="15">
        <f t="shared" si="1"/>
        <v>0</v>
      </c>
      <c r="F29" s="12"/>
    </row>
    <row r="30" spans="1:6" x14ac:dyDescent="0.35">
      <c r="A30" s="11">
        <v>2024</v>
      </c>
      <c r="B30" s="11">
        <v>130432.35699999999</v>
      </c>
      <c r="C30" s="11" t="s">
        <v>12</v>
      </c>
      <c r="D30" s="11">
        <v>673036</v>
      </c>
      <c r="E30" s="15">
        <f t="shared" si="1"/>
        <v>0.19379699897182318</v>
      </c>
      <c r="F30" s="12"/>
    </row>
    <row r="31" spans="1:6" x14ac:dyDescent="0.35">
      <c r="A31" s="11">
        <v>2024</v>
      </c>
      <c r="B31" s="11">
        <v>0</v>
      </c>
      <c r="C31" s="11" t="s">
        <v>26</v>
      </c>
      <c r="D31" s="11">
        <v>539607</v>
      </c>
      <c r="E31" s="15">
        <f t="shared" si="1"/>
        <v>0</v>
      </c>
      <c r="F31" s="12"/>
    </row>
    <row r="32" spans="1:6" x14ac:dyDescent="0.35">
      <c r="A32" s="11">
        <v>2024</v>
      </c>
      <c r="B32" s="11">
        <v>2385</v>
      </c>
      <c r="C32" s="11" t="s">
        <v>35</v>
      </c>
      <c r="D32" s="11">
        <v>3034960.5</v>
      </c>
      <c r="E32" s="15">
        <f t="shared" si="1"/>
        <v>7.8584218806142616E-4</v>
      </c>
      <c r="F32" s="12"/>
    </row>
    <row r="33" spans="1:6" x14ac:dyDescent="0.35">
      <c r="A33" s="11">
        <v>2024</v>
      </c>
      <c r="B33" s="11">
        <v>0</v>
      </c>
      <c r="C33" s="11" t="s">
        <v>36</v>
      </c>
      <c r="D33" s="11">
        <v>38631</v>
      </c>
      <c r="E33" s="15">
        <f t="shared" si="1"/>
        <v>0</v>
      </c>
      <c r="F33" s="12"/>
    </row>
    <row r="34" spans="1:6" x14ac:dyDescent="0.35">
      <c r="A34" s="11">
        <v>2024</v>
      </c>
      <c r="B34" s="11">
        <v>41505</v>
      </c>
      <c r="C34" s="11" t="s">
        <v>37</v>
      </c>
      <c r="D34" s="11">
        <v>638478.5</v>
      </c>
      <c r="E34" s="15">
        <f t="shared" si="1"/>
        <v>6.5006104355902358E-2</v>
      </c>
      <c r="F34" s="12"/>
    </row>
    <row r="35" spans="1:6" x14ac:dyDescent="0.35">
      <c r="A35" s="11">
        <v>2024</v>
      </c>
      <c r="B35" s="11">
        <v>4227781</v>
      </c>
      <c r="C35" s="11" t="s">
        <v>52</v>
      </c>
      <c r="D35" s="11">
        <v>18228741.5</v>
      </c>
      <c r="E35" s="15">
        <f t="shared" si="1"/>
        <v>0.2319293956744079</v>
      </c>
      <c r="F35" s="12"/>
    </row>
    <row r="36" spans="1:6" x14ac:dyDescent="0.35">
      <c r="A36" s="11">
        <v>2024</v>
      </c>
      <c r="B36" s="11">
        <v>100</v>
      </c>
      <c r="C36" s="11" t="s">
        <v>38</v>
      </c>
      <c r="D36" s="11">
        <v>1823009</v>
      </c>
      <c r="E36" s="15">
        <f t="shared" si="1"/>
        <v>5.4854364405222354E-5</v>
      </c>
      <c r="F36" s="12"/>
    </row>
    <row r="37" spans="1:6" x14ac:dyDescent="0.35">
      <c r="A37" s="11">
        <v>2024</v>
      </c>
      <c r="B37" s="11">
        <v>49820</v>
      </c>
      <c r="C37" s="11" t="s">
        <v>39</v>
      </c>
      <c r="D37" s="11">
        <v>5576660</v>
      </c>
      <c r="E37" s="15">
        <f t="shared" si="1"/>
        <v>8.9336628017487162E-3</v>
      </c>
      <c r="F37" s="12"/>
    </row>
    <row r="38" spans="1:6" x14ac:dyDescent="0.35">
      <c r="A38" s="11">
        <v>2024</v>
      </c>
      <c r="B38" s="11">
        <v>174511</v>
      </c>
      <c r="C38" s="11" t="s">
        <v>13</v>
      </c>
      <c r="D38" s="11">
        <v>38539201</v>
      </c>
      <c r="E38" s="15">
        <f t="shared" si="1"/>
        <v>4.5281426566160521E-3</v>
      </c>
      <c r="F38" s="12"/>
    </row>
    <row r="39" spans="1:6" x14ac:dyDescent="0.35">
      <c r="A39" s="11">
        <v>2024</v>
      </c>
      <c r="B39" s="11">
        <v>930080</v>
      </c>
      <c r="C39" s="11" t="s">
        <v>14</v>
      </c>
      <c r="D39" s="11">
        <v>10425292.5</v>
      </c>
      <c r="E39" s="15">
        <f t="shared" si="1"/>
        <v>8.9213803833321698E-2</v>
      </c>
      <c r="F39" s="12"/>
    </row>
    <row r="40" spans="1:6" x14ac:dyDescent="0.35">
      <c r="A40" s="11">
        <v>2024</v>
      </c>
      <c r="B40" s="11">
        <v>10693</v>
      </c>
      <c r="C40" s="11" t="s">
        <v>40</v>
      </c>
      <c r="D40" s="11">
        <v>6736216</v>
      </c>
      <c r="E40" s="15">
        <f t="shared" si="1"/>
        <v>1.5873897155316873E-3</v>
      </c>
      <c r="F40" s="12"/>
    </row>
    <row r="41" spans="1:6" x14ac:dyDescent="0.35">
      <c r="A41" s="11">
        <v>2024</v>
      </c>
      <c r="B41" s="11">
        <v>69456</v>
      </c>
      <c r="C41" s="11" t="s">
        <v>20</v>
      </c>
      <c r="D41" s="11">
        <v>19015088</v>
      </c>
      <c r="E41" s="15">
        <f t="shared" si="1"/>
        <v>3.6526783362769606E-3</v>
      </c>
      <c r="F41" s="12"/>
    </row>
    <row r="42" spans="1:6" x14ac:dyDescent="0.35">
      <c r="A42" s="11">
        <v>2024</v>
      </c>
      <c r="B42" s="11">
        <v>0</v>
      </c>
      <c r="C42" s="11" t="s">
        <v>41</v>
      </c>
      <c r="D42" s="11">
        <v>144820423</v>
      </c>
      <c r="E42" s="15">
        <f t="shared" si="1"/>
        <v>0</v>
      </c>
      <c r="F42" s="12"/>
    </row>
    <row r="43" spans="1:6" x14ac:dyDescent="0.35">
      <c r="A43" s="11">
        <v>2024</v>
      </c>
      <c r="B43" s="11">
        <v>0</v>
      </c>
      <c r="C43" s="11" t="s">
        <v>42</v>
      </c>
      <c r="D43" s="11">
        <v>33581</v>
      </c>
      <c r="E43" s="15">
        <f t="shared" si="1"/>
        <v>0</v>
      </c>
      <c r="F43" s="12"/>
    </row>
    <row r="44" spans="1:6" x14ac:dyDescent="0.35">
      <c r="A44" s="11">
        <v>2024</v>
      </c>
      <c r="B44" s="11">
        <v>15867</v>
      </c>
      <c r="C44" s="11" t="s">
        <v>15</v>
      </c>
      <c r="D44" s="11">
        <v>5506759.5</v>
      </c>
      <c r="E44" s="15">
        <f t="shared" si="1"/>
        <v>2.8813678897725604E-3</v>
      </c>
      <c r="F44" s="12"/>
    </row>
    <row r="45" spans="1:6" x14ac:dyDescent="0.35">
      <c r="A45" s="11">
        <v>2024</v>
      </c>
      <c r="B45" s="11">
        <v>1050</v>
      </c>
      <c r="C45" s="11" t="s">
        <v>16</v>
      </c>
      <c r="D45" s="11">
        <v>2118696.5</v>
      </c>
      <c r="E45" s="15">
        <f t="shared" si="1"/>
        <v>4.9558773519472945E-4</v>
      </c>
      <c r="F45" s="12"/>
    </row>
    <row r="46" spans="1:6" x14ac:dyDescent="0.35">
      <c r="A46" s="11">
        <v>2024</v>
      </c>
      <c r="B46" s="11">
        <v>536129.60000000009</v>
      </c>
      <c r="C46" s="11" t="s">
        <v>17</v>
      </c>
      <c r="D46" s="11">
        <v>47910526.5</v>
      </c>
      <c r="E46" s="15">
        <f t="shared" si="1"/>
        <v>1.1190225596873792E-2</v>
      </c>
      <c r="F46" s="12"/>
    </row>
    <row r="47" spans="1:6" x14ac:dyDescent="0.35">
      <c r="A47" s="11">
        <v>2024</v>
      </c>
      <c r="B47" s="11">
        <v>4000</v>
      </c>
      <c r="C47" s="11" t="s">
        <v>18</v>
      </c>
      <c r="D47" s="11">
        <v>10606999</v>
      </c>
      <c r="E47" s="15">
        <f t="shared" si="1"/>
        <v>3.7710949157249851E-4</v>
      </c>
      <c r="F47" s="12"/>
    </row>
    <row r="48" spans="1:6" x14ac:dyDescent="0.35">
      <c r="A48" s="11">
        <v>2024</v>
      </c>
      <c r="B48" s="11">
        <v>170020</v>
      </c>
      <c r="C48" s="11" t="s">
        <v>43</v>
      </c>
      <c r="D48" s="11">
        <v>8921981</v>
      </c>
      <c r="E48" s="15">
        <f t="shared" si="1"/>
        <v>1.9056305993030022E-2</v>
      </c>
      <c r="F48" s="12"/>
    </row>
    <row r="49" spans="1:6" x14ac:dyDescent="0.35">
      <c r="A49" s="11">
        <v>2024</v>
      </c>
      <c r="B49" s="11">
        <v>106042</v>
      </c>
      <c r="C49" s="11" t="s">
        <v>44</v>
      </c>
      <c r="D49" s="11">
        <v>37860221.5</v>
      </c>
      <c r="E49" s="15">
        <f t="shared" si="1"/>
        <v>2.8008816588672098E-3</v>
      </c>
      <c r="F49" s="12"/>
    </row>
    <row r="50" spans="1:6" x14ac:dyDescent="0.35">
      <c r="A50" s="11">
        <v>2024</v>
      </c>
      <c r="B50" s="11">
        <v>3235389</v>
      </c>
      <c r="C50" s="11" t="s">
        <v>51</v>
      </c>
      <c r="D50" s="11">
        <v>69138191.5</v>
      </c>
      <c r="E50" s="15">
        <f t="shared" si="1"/>
        <v>4.679597382873401E-2</v>
      </c>
      <c r="F50" s="12"/>
    </row>
    <row r="51" spans="1:6" x14ac:dyDescent="0.35">
      <c r="A51" s="12" t="s">
        <v>57</v>
      </c>
      <c r="B51" s="12">
        <f>SUM(B2:B50)</f>
        <v>19716798.557999998</v>
      </c>
      <c r="C51" s="12"/>
      <c r="D51" s="11">
        <f>SUM(D2:D50)</f>
        <v>745083327.99999988</v>
      </c>
      <c r="E51" s="11"/>
      <c r="F51" s="12">
        <f>B51/D51</f>
        <v>2.6462541593737017E-2</v>
      </c>
    </row>
    <row r="52" spans="1:6" x14ac:dyDescent="0.35">
      <c r="A52" s="12" t="s">
        <v>56</v>
      </c>
      <c r="B52" s="12">
        <v>8478416</v>
      </c>
      <c r="C52" s="12"/>
      <c r="D52" s="12">
        <v>1419321277.5</v>
      </c>
      <c r="E52" s="11"/>
      <c r="F52" s="12">
        <f>B52/D52</f>
        <v>5.973570702000555E-3</v>
      </c>
    </row>
    <row r="54" spans="1:6" x14ac:dyDescent="0.35">
      <c r="B54" s="6">
        <v>31887336.579999998</v>
      </c>
      <c r="C54" s="6" t="s">
        <v>58</v>
      </c>
    </row>
    <row r="55" spans="1:6" x14ac:dyDescent="0.35">
      <c r="B55" s="6">
        <f>B51/B54*100</f>
        <v>61.832691822767472</v>
      </c>
      <c r="C55" s="6" t="s">
        <v>59</v>
      </c>
    </row>
    <row r="56" spans="1:6" x14ac:dyDescent="0.35">
      <c r="B56" s="6">
        <f>B52/B54*100</f>
        <v>26.588661548226426</v>
      </c>
      <c r="C56" s="6" t="s">
        <v>60</v>
      </c>
    </row>
  </sheetData>
  <sortState xmlns:xlrd2="http://schemas.microsoft.com/office/spreadsheetml/2017/richdata2" ref="A2:E50">
    <sortCondition ref="C2:C5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8342D-EC81-41D7-9213-1C7C9E2CF499}">
  <dimension ref="A1:N18"/>
  <sheetViews>
    <sheetView tabSelected="1" zoomScaleNormal="100" workbookViewId="0">
      <selection activeCell="O5" sqref="O5"/>
    </sheetView>
  </sheetViews>
  <sheetFormatPr defaultRowHeight="15.5" x14ac:dyDescent="0.35"/>
  <cols>
    <col min="1" max="1" width="13" style="4" customWidth="1"/>
    <col min="2" max="9" width="8.6640625" style="4"/>
    <col min="10" max="10" width="20.83203125" style="6" customWidth="1"/>
    <col min="11" max="11" width="20.83203125" style="9" customWidth="1"/>
    <col min="12" max="12" width="20.83203125" style="10" customWidth="1"/>
    <col min="13" max="13" width="26.9140625" style="6" customWidth="1"/>
    <col min="14" max="14" width="24.5" style="6" customWidth="1"/>
  </cols>
  <sheetData>
    <row r="1" spans="1:14" x14ac:dyDescent="0.35">
      <c r="A1" s="20" t="s">
        <v>66</v>
      </c>
      <c r="B1" s="20"/>
      <c r="C1" s="20"/>
      <c r="D1" s="20"/>
      <c r="E1" s="20"/>
      <c r="F1" s="20"/>
      <c r="J1" s="6" t="s">
        <v>21</v>
      </c>
      <c r="K1" s="9" t="s">
        <v>67</v>
      </c>
      <c r="L1" s="10" t="s">
        <v>68</v>
      </c>
      <c r="M1" s="6" t="s">
        <v>82</v>
      </c>
      <c r="N1" s="6" t="s">
        <v>83</v>
      </c>
    </row>
    <row r="2" spans="1:14" x14ac:dyDescent="0.35">
      <c r="C2" s="6">
        <v>2009</v>
      </c>
      <c r="D2" s="6">
        <v>2014</v>
      </c>
      <c r="E2" s="6">
        <v>2019</v>
      </c>
      <c r="F2" s="6">
        <v>2024</v>
      </c>
      <c r="J2" s="6">
        <v>2008</v>
      </c>
      <c r="K2" s="9">
        <v>61573.321709999997</v>
      </c>
      <c r="L2" s="10">
        <v>1404.829</v>
      </c>
      <c r="M2" s="6" t="s">
        <v>75</v>
      </c>
      <c r="N2" s="6" t="s">
        <v>75</v>
      </c>
    </row>
    <row r="3" spans="1:14" x14ac:dyDescent="0.35">
      <c r="A3" s="4" t="s">
        <v>56</v>
      </c>
      <c r="C3" s="6">
        <v>1.4557794640697908E-3</v>
      </c>
      <c r="D3" s="6">
        <v>4.8019939698605079E-3</v>
      </c>
      <c r="E3" s="6">
        <v>5.9559499485415685E-3</v>
      </c>
      <c r="F3" s="6">
        <v>5.973570702000555E-3</v>
      </c>
      <c r="J3" s="6">
        <v>2009</v>
      </c>
      <c r="K3" s="9">
        <v>60712.049229999997</v>
      </c>
      <c r="L3" s="10">
        <v>1954.4169999999999</v>
      </c>
      <c r="M3" s="6">
        <f>(K3-K2)/K2*100</f>
        <v>-1.3987754048034771</v>
      </c>
      <c r="N3" s="6">
        <f>(L3-L2)/L2*100</f>
        <v>39.121345017792194</v>
      </c>
    </row>
    <row r="4" spans="1:14" x14ac:dyDescent="0.35">
      <c r="C4" s="6"/>
      <c r="D4" s="6"/>
      <c r="E4" s="6"/>
      <c r="F4" s="6"/>
      <c r="J4" s="6">
        <v>2010</v>
      </c>
      <c r="K4" s="9">
        <v>57159.222719999998</v>
      </c>
      <c r="L4" s="10">
        <v>3655.6959999999999</v>
      </c>
      <c r="M4" s="6">
        <f t="shared" ref="M4:M18" si="0">(K4-K3)/K3*100</f>
        <v>-5.8519298146905907</v>
      </c>
      <c r="N4" s="6">
        <f t="shared" ref="N4:N18" si="1">(L4-L3)/L3*100</f>
        <v>87.047902264460447</v>
      </c>
    </row>
    <row r="5" spans="1:14" x14ac:dyDescent="0.35">
      <c r="A5" s="5" t="s">
        <v>63</v>
      </c>
      <c r="C5" s="6">
        <v>7.4481258738569478E-2</v>
      </c>
      <c r="D5" s="6">
        <v>7.0649986949650079E-2</v>
      </c>
      <c r="E5" s="6">
        <v>5.6339932770642434E-2</v>
      </c>
      <c r="F5" s="6">
        <v>3.6306841390250984E-2</v>
      </c>
      <c r="J5" s="6">
        <v>2011</v>
      </c>
      <c r="K5" s="9">
        <v>56106.793859999998</v>
      </c>
      <c r="L5" s="10">
        <v>5424.0770000000002</v>
      </c>
      <c r="M5" s="6">
        <f t="shared" si="0"/>
        <v>-1.841223183099296</v>
      </c>
      <c r="N5" s="6">
        <f t="shared" si="1"/>
        <v>48.373305657800877</v>
      </c>
    </row>
    <row r="6" spans="1:14" x14ac:dyDescent="0.35">
      <c r="C6" s="6"/>
      <c r="D6" s="6"/>
      <c r="E6" s="6"/>
      <c r="F6" s="6"/>
      <c r="J6" s="6">
        <v>2012</v>
      </c>
      <c r="K6" s="9">
        <v>53397.186099999999</v>
      </c>
      <c r="L6" s="10">
        <v>5458.5339999999997</v>
      </c>
      <c r="M6" s="6">
        <f t="shared" si="0"/>
        <v>-4.829375506219665</v>
      </c>
      <c r="N6" s="6">
        <f t="shared" si="1"/>
        <v>0.63526015578317607</v>
      </c>
    </row>
    <row r="7" spans="1:14" x14ac:dyDescent="0.35">
      <c r="A7" s="4" t="s">
        <v>57</v>
      </c>
      <c r="C7" s="6">
        <v>5.3616426271105314E-2</v>
      </c>
      <c r="D7" s="6">
        <v>5.1734203616219283E-2</v>
      </c>
      <c r="E7" s="6">
        <v>4.1212491095848208E-2</v>
      </c>
      <c r="F7" s="6">
        <v>2.6462541593737017E-2</v>
      </c>
      <c r="J7" s="6">
        <v>2013</v>
      </c>
      <c r="K7" s="9">
        <v>60048.459519999997</v>
      </c>
      <c r="L7" s="10">
        <v>6498.0169999999998</v>
      </c>
      <c r="M7" s="6">
        <f t="shared" si="0"/>
        <v>12.456224579969014</v>
      </c>
      <c r="N7" s="6">
        <f t="shared" si="1"/>
        <v>19.043263264458922</v>
      </c>
    </row>
    <row r="8" spans="1:14" x14ac:dyDescent="0.35">
      <c r="F8" s="6"/>
      <c r="J8" s="6">
        <v>2014</v>
      </c>
      <c r="K8" s="9">
        <v>52099.572999999997</v>
      </c>
      <c r="L8" s="10">
        <v>6664.9369999999999</v>
      </c>
      <c r="M8" s="6">
        <f t="shared" si="0"/>
        <v>-13.237452856475876</v>
      </c>
      <c r="N8" s="6">
        <f t="shared" si="1"/>
        <v>2.5687836766201144</v>
      </c>
    </row>
    <row r="9" spans="1:14" x14ac:dyDescent="0.35">
      <c r="J9" s="6">
        <v>2015</v>
      </c>
      <c r="K9" s="9">
        <v>45733.473859999998</v>
      </c>
      <c r="L9" s="10">
        <v>7088.134</v>
      </c>
      <c r="M9" s="6">
        <f t="shared" si="0"/>
        <v>-12.219100413740433</v>
      </c>
      <c r="N9" s="6">
        <f t="shared" si="1"/>
        <v>6.3496024043438082</v>
      </c>
    </row>
    <row r="10" spans="1:14" x14ac:dyDescent="0.35">
      <c r="J10" s="6">
        <v>2016</v>
      </c>
      <c r="K10" s="9">
        <v>48305.076280000001</v>
      </c>
      <c r="L10" s="10">
        <v>6002.3735310000002</v>
      </c>
      <c r="M10" s="6">
        <f t="shared" si="0"/>
        <v>5.6230200834343593</v>
      </c>
      <c r="N10" s="6">
        <f t="shared" si="1"/>
        <v>-15.318001451439828</v>
      </c>
    </row>
    <row r="11" spans="1:14" x14ac:dyDescent="0.35">
      <c r="A11" s="20" t="s">
        <v>69</v>
      </c>
      <c r="B11" s="20"/>
      <c r="C11" s="20"/>
      <c r="D11" s="20"/>
      <c r="E11" s="20"/>
      <c r="F11" s="20"/>
      <c r="J11" s="6">
        <v>2017</v>
      </c>
      <c r="K11" s="9">
        <v>46784.387280000003</v>
      </c>
      <c r="L11" s="10">
        <v>7185.7259999999997</v>
      </c>
      <c r="M11" s="6">
        <f t="shared" si="0"/>
        <v>-3.1480935692665848</v>
      </c>
      <c r="N11" s="6">
        <f t="shared" si="1"/>
        <v>19.714742224695435</v>
      </c>
    </row>
    <row r="12" spans="1:14" x14ac:dyDescent="0.35">
      <c r="C12" s="6">
        <v>2009</v>
      </c>
      <c r="D12" s="6">
        <v>2014</v>
      </c>
      <c r="E12" s="6">
        <v>2019</v>
      </c>
      <c r="F12" s="6">
        <v>2024</v>
      </c>
      <c r="J12" s="6">
        <v>2018</v>
      </c>
      <c r="K12" s="9">
        <v>44306.032859999999</v>
      </c>
      <c r="L12" s="10">
        <v>8797.2710000000006</v>
      </c>
      <c r="M12" s="6">
        <f t="shared" si="0"/>
        <v>-5.2973963411496516</v>
      </c>
      <c r="N12" s="6">
        <f t="shared" si="1"/>
        <v>22.42703103346831</v>
      </c>
    </row>
    <row r="13" spans="1:14" x14ac:dyDescent="0.35">
      <c r="A13" s="4" t="s">
        <v>56</v>
      </c>
      <c r="C13" s="4">
        <v>3.2191583463044315</v>
      </c>
      <c r="D13" s="4">
        <v>12.79269025870903</v>
      </c>
      <c r="E13" s="4">
        <v>19.448673180179814</v>
      </c>
      <c r="F13" s="4">
        <v>26.588661548226426</v>
      </c>
      <c r="J13" s="6">
        <v>2019</v>
      </c>
      <c r="K13" s="9">
        <v>43593.801599999999</v>
      </c>
      <c r="L13" s="10">
        <v>8166.098</v>
      </c>
      <c r="M13" s="6">
        <f t="shared" si="0"/>
        <v>-1.6075265918086996</v>
      </c>
      <c r="N13" s="6">
        <f t="shared" si="1"/>
        <v>-7.1746454099231531</v>
      </c>
    </row>
    <row r="14" spans="1:14" x14ac:dyDescent="0.35">
      <c r="C14" s="6"/>
      <c r="D14" s="6"/>
      <c r="E14" s="6"/>
      <c r="F14" s="6"/>
      <c r="J14" s="6">
        <v>2020</v>
      </c>
      <c r="K14" s="9">
        <v>34886.40595</v>
      </c>
      <c r="L14" s="10">
        <v>2622.7620000000002</v>
      </c>
      <c r="M14" s="6">
        <f t="shared" si="0"/>
        <v>-19.973930536950459</v>
      </c>
      <c r="N14" s="6">
        <f t="shared" si="1"/>
        <v>-67.882310498845342</v>
      </c>
    </row>
    <row r="15" spans="1:14" x14ac:dyDescent="0.35">
      <c r="A15" s="5" t="s">
        <v>63</v>
      </c>
      <c r="C15" s="6">
        <v>61.080481502963103</v>
      </c>
      <c r="D15" s="6">
        <v>68.277454020592458</v>
      </c>
      <c r="E15" s="6">
        <v>66.490592761242468</v>
      </c>
      <c r="F15" s="6">
        <v>51.266437750255022</v>
      </c>
      <c r="J15" s="6">
        <v>2021</v>
      </c>
      <c r="K15" s="9">
        <v>37843.83898</v>
      </c>
      <c r="L15" s="10">
        <v>495.71199999999999</v>
      </c>
      <c r="M15" s="6">
        <f t="shared" si="0"/>
        <v>8.4773221817078586</v>
      </c>
      <c r="N15" s="6">
        <f t="shared" si="1"/>
        <v>-81.099619408852192</v>
      </c>
    </row>
    <row r="16" spans="1:14" x14ac:dyDescent="0.35">
      <c r="C16" s="6"/>
      <c r="D16" s="6"/>
      <c r="E16" s="6"/>
      <c r="F16" s="6"/>
      <c r="J16" s="6">
        <v>2022</v>
      </c>
      <c r="K16" s="9">
        <v>33567.670940000004</v>
      </c>
      <c r="L16" s="10">
        <v>932.91899999999998</v>
      </c>
      <c r="M16" s="6">
        <f t="shared" si="0"/>
        <v>-11.299509128183054</v>
      </c>
      <c r="N16" s="6">
        <f t="shared" si="1"/>
        <v>88.197784197275837</v>
      </c>
    </row>
    <row r="17" spans="1:14" x14ac:dyDescent="0.35">
      <c r="A17" s="4" t="s">
        <v>57</v>
      </c>
      <c r="C17" s="6">
        <v>65.080698973468003</v>
      </c>
      <c r="D17" s="6">
        <v>73.743199392440317</v>
      </c>
      <c r="E17" s="6">
        <v>70.85619734297272</v>
      </c>
      <c r="F17" s="6">
        <v>61.832691822767472</v>
      </c>
      <c r="J17" s="6">
        <v>2023</v>
      </c>
      <c r="K17" s="9">
        <v>31063.202369999999</v>
      </c>
      <c r="L17" s="10">
        <v>5928.8190000000004</v>
      </c>
      <c r="M17" s="6">
        <f t="shared" si="0"/>
        <v>-7.4609542451621884</v>
      </c>
      <c r="N17" s="6">
        <f t="shared" si="1"/>
        <v>535.51272940094486</v>
      </c>
    </row>
    <row r="18" spans="1:14" x14ac:dyDescent="0.35">
      <c r="J18" s="6">
        <v>2024</v>
      </c>
      <c r="K18" s="9">
        <v>31887.336579999999</v>
      </c>
      <c r="L18" s="10">
        <v>8478.4159999999993</v>
      </c>
      <c r="M18" s="6">
        <f t="shared" si="0"/>
        <v>2.6530883718412968</v>
      </c>
      <c r="N18" s="6">
        <f t="shared" si="1"/>
        <v>43.003454819585464</v>
      </c>
    </row>
  </sheetData>
  <mergeCells count="2">
    <mergeCell ref="A1:F1"/>
    <mergeCell ref="A11:F1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B04CF-856B-458B-A902-178393BDD3AF}">
  <dimension ref="A1:G21"/>
  <sheetViews>
    <sheetView topLeftCell="A3" zoomScaleNormal="100" workbookViewId="0">
      <selection activeCell="K8" sqref="K8"/>
    </sheetView>
  </sheetViews>
  <sheetFormatPr defaultRowHeight="15.5" x14ac:dyDescent="0.35"/>
  <cols>
    <col min="1" max="1" width="45.5" style="4" customWidth="1"/>
    <col min="2" max="2" width="15.5" style="4" customWidth="1"/>
    <col min="3" max="7" width="8.6640625" style="6"/>
  </cols>
  <sheetData>
    <row r="1" spans="1:7" x14ac:dyDescent="0.35">
      <c r="A1" s="21" t="s">
        <v>74</v>
      </c>
      <c r="B1" s="21" t="s">
        <v>73</v>
      </c>
      <c r="C1" s="20" t="s">
        <v>21</v>
      </c>
      <c r="D1" s="20"/>
      <c r="E1" s="20"/>
      <c r="F1" s="20"/>
      <c r="G1" s="20"/>
    </row>
    <row r="2" spans="1:7" x14ac:dyDescent="0.35">
      <c r="A2" s="21"/>
      <c r="B2" s="21"/>
      <c r="C2" s="6">
        <v>2019</v>
      </c>
      <c r="D2" s="6">
        <v>2020</v>
      </c>
      <c r="E2" s="6">
        <v>2021</v>
      </c>
      <c r="F2" s="6">
        <v>2022</v>
      </c>
      <c r="G2" s="6">
        <v>2023</v>
      </c>
    </row>
    <row r="3" spans="1:7" x14ac:dyDescent="0.35">
      <c r="A3" s="4" t="s">
        <v>77</v>
      </c>
      <c r="B3" s="4" t="s">
        <v>70</v>
      </c>
      <c r="C3" s="6">
        <v>389375.23</v>
      </c>
      <c r="D3" s="6">
        <v>380489.48</v>
      </c>
      <c r="E3" s="6">
        <v>378759.11</v>
      </c>
      <c r="F3" s="6">
        <v>379149.9</v>
      </c>
      <c r="G3" s="6">
        <v>353005.31</v>
      </c>
    </row>
    <row r="4" spans="1:7" x14ac:dyDescent="0.35">
      <c r="B4" s="4" t="s">
        <v>71</v>
      </c>
      <c r="C4" s="6">
        <v>52197</v>
      </c>
      <c r="D4" s="6">
        <v>51096</v>
      </c>
      <c r="E4" s="6">
        <v>50750</v>
      </c>
      <c r="F4" s="6">
        <v>54352</v>
      </c>
      <c r="G4" s="6">
        <v>58273</v>
      </c>
    </row>
    <row r="5" spans="1:7" x14ac:dyDescent="0.35">
      <c r="B5" s="4" t="s">
        <v>72</v>
      </c>
      <c r="C5" s="6">
        <f>C3/C4</f>
        <v>7.4597243136578726</v>
      </c>
      <c r="D5" s="6">
        <f t="shared" ref="D5:G5" si="0">D3/D4</f>
        <v>7.4465609832472204</v>
      </c>
      <c r="E5" s="6">
        <f t="shared" si="0"/>
        <v>7.4632336945812803</v>
      </c>
      <c r="F5" s="6">
        <f t="shared" si="0"/>
        <v>6.9758224168383869</v>
      </c>
      <c r="G5" s="6">
        <f t="shared" si="0"/>
        <v>6.0577850805690456</v>
      </c>
    </row>
    <row r="7" spans="1:7" x14ac:dyDescent="0.35">
      <c r="A7" s="4" t="s">
        <v>78</v>
      </c>
      <c r="B7" s="4" t="s">
        <v>70</v>
      </c>
      <c r="C7" s="6">
        <v>467498.26</v>
      </c>
      <c r="D7" s="6">
        <v>472556.88</v>
      </c>
      <c r="E7" s="6">
        <v>504679.14</v>
      </c>
      <c r="F7" s="6">
        <v>480650.87</v>
      </c>
      <c r="G7" s="6">
        <v>439263.73</v>
      </c>
    </row>
    <row r="8" spans="1:7" x14ac:dyDescent="0.35">
      <c r="B8" s="4" t="s">
        <v>71</v>
      </c>
      <c r="C8" s="6">
        <v>63171</v>
      </c>
      <c r="D8" s="6">
        <v>64688</v>
      </c>
      <c r="E8" s="6">
        <v>68704</v>
      </c>
      <c r="F8" s="6">
        <v>70219</v>
      </c>
      <c r="G8" s="6">
        <v>73540</v>
      </c>
    </row>
    <row r="9" spans="1:7" x14ac:dyDescent="0.35">
      <c r="B9" s="4" t="s">
        <v>72</v>
      </c>
      <c r="C9" s="6">
        <f>C7/C8</f>
        <v>7.400520175396939</v>
      </c>
      <c r="D9" s="6">
        <f t="shared" ref="D9:G9" si="1">D7/D8</f>
        <v>7.3051706653475144</v>
      </c>
      <c r="E9" s="6">
        <f t="shared" si="1"/>
        <v>7.3457024336283192</v>
      </c>
      <c r="F9" s="6">
        <f t="shared" si="1"/>
        <v>6.8450258477050374</v>
      </c>
      <c r="G9" s="6">
        <f t="shared" si="1"/>
        <v>5.9731265977699213</v>
      </c>
    </row>
    <row r="11" spans="1:7" x14ac:dyDescent="0.35">
      <c r="A11" s="4" t="s">
        <v>81</v>
      </c>
      <c r="B11" s="4" t="s">
        <v>70</v>
      </c>
      <c r="C11" s="6">
        <v>10061.040000000001</v>
      </c>
      <c r="D11" s="6">
        <v>11994.62</v>
      </c>
      <c r="E11" s="6">
        <v>12352.24</v>
      </c>
      <c r="F11" s="6">
        <v>11852.63</v>
      </c>
      <c r="G11" s="6">
        <v>10377.549999999999</v>
      </c>
    </row>
    <row r="12" spans="1:7" x14ac:dyDescent="0.35">
      <c r="B12" s="4" t="s">
        <v>71</v>
      </c>
      <c r="C12" s="6">
        <v>2098</v>
      </c>
      <c r="D12" s="6">
        <v>2545</v>
      </c>
      <c r="E12" s="6">
        <v>2595</v>
      </c>
      <c r="F12" s="6">
        <v>2685</v>
      </c>
      <c r="G12" s="6">
        <v>2704</v>
      </c>
    </row>
    <row r="13" spans="1:7" x14ac:dyDescent="0.35">
      <c r="B13" s="4" t="s">
        <v>72</v>
      </c>
      <c r="C13" s="6">
        <f>C11/C12</f>
        <v>4.7955386081982843</v>
      </c>
      <c r="D13" s="6">
        <f t="shared" ref="D13:G13" si="2">D11/D12</f>
        <v>4.7130137524557956</v>
      </c>
      <c r="E13" s="6">
        <f t="shared" si="2"/>
        <v>4.7600154142581887</v>
      </c>
      <c r="F13" s="6">
        <f t="shared" si="2"/>
        <v>4.414387337057728</v>
      </c>
      <c r="G13" s="6">
        <f t="shared" si="2"/>
        <v>3.8378513313609464</v>
      </c>
    </row>
    <row r="15" spans="1:7" x14ac:dyDescent="0.35">
      <c r="A15" s="4" t="s">
        <v>80</v>
      </c>
      <c r="B15" s="4" t="s">
        <v>70</v>
      </c>
      <c r="C15" s="6">
        <v>16429.04</v>
      </c>
      <c r="D15" s="6">
        <v>19476.86</v>
      </c>
      <c r="E15" s="6">
        <v>20594.47</v>
      </c>
      <c r="F15" s="6">
        <v>20054.939999999999</v>
      </c>
      <c r="G15" s="6">
        <v>17827.689999999999</v>
      </c>
    </row>
    <row r="16" spans="1:7" x14ac:dyDescent="0.35">
      <c r="B16" s="4" t="s">
        <v>71</v>
      </c>
      <c r="C16" s="6">
        <v>4105</v>
      </c>
      <c r="D16" s="6">
        <v>4979</v>
      </c>
      <c r="E16" s="6">
        <v>5079</v>
      </c>
      <c r="F16" s="6">
        <v>5257</v>
      </c>
      <c r="G16" s="6">
        <v>5294</v>
      </c>
    </row>
    <row r="17" spans="1:7" x14ac:dyDescent="0.35">
      <c r="B17" s="4" t="s">
        <v>72</v>
      </c>
      <c r="C17" s="6">
        <f>C15/C16</f>
        <v>4.0022021924482338</v>
      </c>
      <c r="D17" s="6">
        <f t="shared" ref="D17:G17" si="3">D15/D16</f>
        <v>3.9118015665796344</v>
      </c>
      <c r="E17" s="6">
        <f t="shared" si="3"/>
        <v>4.0548277219925186</v>
      </c>
      <c r="F17" s="6">
        <f t="shared" si="3"/>
        <v>3.8149020353813961</v>
      </c>
      <c r="G17" s="6">
        <f t="shared" si="3"/>
        <v>3.3675273894975439</v>
      </c>
    </row>
    <row r="19" spans="1:7" x14ac:dyDescent="0.35">
      <c r="A19" s="4" t="s">
        <v>79</v>
      </c>
      <c r="B19" s="4" t="s">
        <v>70</v>
      </c>
      <c r="C19" s="6">
        <v>77551.86</v>
      </c>
      <c r="D19" s="6">
        <v>79926.58</v>
      </c>
      <c r="E19" s="6">
        <v>80039.05</v>
      </c>
      <c r="F19" s="6">
        <v>81043.09</v>
      </c>
      <c r="G19" s="6">
        <v>66034.98</v>
      </c>
    </row>
    <row r="20" spans="1:7" x14ac:dyDescent="0.35">
      <c r="B20" s="4" t="s">
        <v>71</v>
      </c>
      <c r="C20" s="6">
        <v>12084</v>
      </c>
      <c r="D20" s="6">
        <v>12562</v>
      </c>
      <c r="E20" s="6">
        <v>12337</v>
      </c>
      <c r="F20" s="6">
        <v>13397</v>
      </c>
      <c r="G20" s="6">
        <v>12881</v>
      </c>
    </row>
    <row r="21" spans="1:7" x14ac:dyDescent="0.35">
      <c r="B21" s="4" t="s">
        <v>72</v>
      </c>
      <c r="C21" s="6">
        <f>C19/C20</f>
        <v>6.4177308838133067</v>
      </c>
      <c r="D21" s="6">
        <f t="shared" ref="D21:G21" si="4">D19/D20</f>
        <v>6.3625680624104444</v>
      </c>
      <c r="E21" s="6">
        <f t="shared" si="4"/>
        <v>6.4877239199157009</v>
      </c>
      <c r="F21" s="6">
        <f t="shared" si="4"/>
        <v>6.0493461222661784</v>
      </c>
      <c r="G21" s="6">
        <f t="shared" si="4"/>
        <v>5.1265414175918016</v>
      </c>
    </row>
  </sheetData>
  <mergeCells count="3">
    <mergeCell ref="C1:G1"/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EU_2009</vt:lpstr>
      <vt:lpstr>EU_2014</vt:lpstr>
      <vt:lpstr>EU_2019</vt:lpstr>
      <vt:lpstr>EU_2024</vt:lpstr>
      <vt:lpstr>Europe_2009</vt:lpstr>
      <vt:lpstr>Europe_2014</vt:lpstr>
      <vt:lpstr>Europe_2019</vt:lpstr>
      <vt:lpstr>Europe_2024</vt:lpstr>
      <vt:lpstr>Trade _Flow</vt:lpstr>
      <vt:lpstr>USD_per_kg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Hashmi Sakib</dc:creator>
  <cp:lastModifiedBy>Hashmi Sakib</cp:lastModifiedBy>
  <dcterms:created xsi:type="dcterms:W3CDTF">2025-08-15T03:04:28Z</dcterms:created>
  <dcterms:modified xsi:type="dcterms:W3CDTF">2025-12-18T05:04:25Z</dcterms:modified>
</cp:coreProperties>
</file>